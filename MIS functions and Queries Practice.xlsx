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1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60" windowHeight="7065" tabRatio="743" firstSheet="4" activeTab="4"/>
  </bookViews>
  <sheets>
    <sheet name="IF" sheetId="1" r:id="rId1"/>
    <sheet name="VLOOKUP" sheetId="2" r:id="rId2"/>
    <sheet name="SUMIF" sheetId="3" r:id="rId3"/>
    <sheet name="COUNTIF" sheetId="4" r:id="rId4"/>
    <sheet name="DATE FUNC" sheetId="5" r:id="rId5"/>
    <sheet name="SUMIFS" sheetId="8" r:id="rId6"/>
    <sheet name="COUNTIFS" sheetId="12" r:id="rId7"/>
    <sheet name="IFERROR" sheetId="10" r:id="rId8"/>
    <sheet name="TEXT FUNC" sheetId="13" r:id="rId9"/>
    <sheet name="INDEX-MATCH" sheetId="14" r:id="rId10"/>
    <sheet name="PIVOT TABLE (1)" sheetId="15" r:id="rId11"/>
    <sheet name="PIVOT TABLE (2)" sheetId="16" r:id="rId12"/>
    <sheet name="Q1" sheetId="6" r:id="rId13"/>
    <sheet name="Q2" sheetId="7" r:id="rId14"/>
    <sheet name="Q3" sheetId="11" r:id="rId15"/>
  </sheets>
  <calcPr calcId="162913"/>
  <pivotCaches>
    <pivotCache cacheId="11" r:id="rId16"/>
    <pivotCache cacheId="30" r:id="rId1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14" l="1"/>
  <c r="B10" i="14"/>
  <c r="B9" i="14"/>
  <c r="B8" i="14"/>
  <c r="J9" i="11" l="1"/>
  <c r="J10" i="11" s="1"/>
  <c r="B15" i="11"/>
  <c r="G3" i="11"/>
  <c r="G4" i="11"/>
  <c r="G5" i="11"/>
  <c r="G6" i="11"/>
  <c r="G2" i="11"/>
  <c r="B13" i="11"/>
  <c r="B11" i="11"/>
  <c r="B9" i="11"/>
  <c r="B12" i="13"/>
  <c r="B11" i="13"/>
  <c r="B10" i="13"/>
  <c r="B9" i="13"/>
  <c r="B8" i="13"/>
  <c r="B8" i="10"/>
  <c r="B15" i="6"/>
  <c r="B13" i="6"/>
  <c r="B11" i="6"/>
  <c r="B9" i="12"/>
  <c r="B11" i="12"/>
  <c r="B13" i="12"/>
  <c r="H2" i="6"/>
  <c r="H3" i="6"/>
  <c r="B16" i="8" l="1"/>
  <c r="B14" i="8"/>
  <c r="B12" i="8"/>
  <c r="B10" i="8"/>
  <c r="H6" i="7"/>
  <c r="G6" i="7"/>
  <c r="F6" i="7"/>
  <c r="H3" i="7"/>
  <c r="H4" i="7"/>
  <c r="H5" i="7"/>
  <c r="H2" i="7"/>
  <c r="G3" i="7"/>
  <c r="G4" i="7"/>
  <c r="G5" i="7"/>
  <c r="G2" i="7"/>
  <c r="H4" i="6"/>
  <c r="H5" i="6"/>
  <c r="H6" i="6"/>
  <c r="H7" i="6"/>
  <c r="C4" i="5"/>
  <c r="B1" i="5"/>
  <c r="B2" i="5" s="1"/>
  <c r="B3" i="5" l="1"/>
  <c r="E9" i="4"/>
  <c r="B9" i="4"/>
  <c r="H9" i="3"/>
  <c r="B9" i="3"/>
  <c r="E9" i="3"/>
  <c r="F9" i="2"/>
  <c r="B9" i="2"/>
  <c r="M3" i="1" l="1"/>
  <c r="M4" i="1"/>
  <c r="M5" i="1"/>
  <c r="M6" i="1"/>
  <c r="M2" i="1"/>
  <c r="H3" i="1"/>
  <c r="H4" i="1"/>
  <c r="H5" i="1"/>
  <c r="H6" i="1"/>
  <c r="H2" i="1"/>
  <c r="C3" i="1"/>
  <c r="C4" i="1"/>
  <c r="C5" i="1"/>
  <c r="C6" i="1"/>
  <c r="C2" i="1"/>
</calcChain>
</file>

<file path=xl/comments1.xml><?xml version="1.0" encoding="utf-8"?>
<comments xmlns="http://schemas.openxmlformats.org/spreadsheetml/2006/main">
  <authors>
    <author>Windows User</author>
  </authors>
  <commentList>
    <comment ref="A12" authorId="0" shapeId="0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First use the VLOOKUP to Pulls dept column from Employee table in Sales table. Then use SUMIF to sum the total Sales of SALES dept.</t>
        </r>
      </text>
    </comment>
  </commentList>
</comments>
</file>

<file path=xl/sharedStrings.xml><?xml version="1.0" encoding="utf-8"?>
<sst xmlns="http://schemas.openxmlformats.org/spreadsheetml/2006/main" count="555" uniqueCount="207">
  <si>
    <t>Marks</t>
  </si>
  <si>
    <t>Name</t>
  </si>
  <si>
    <t>Pass/Fail</t>
  </si>
  <si>
    <t>Aisha</t>
  </si>
  <si>
    <t>Komal</t>
  </si>
  <si>
    <t>Subeen</t>
  </si>
  <si>
    <t>Hafsa</t>
  </si>
  <si>
    <t>Rubab</t>
  </si>
  <si>
    <t>Emp ID</t>
  </si>
  <si>
    <t>Actual Sales</t>
  </si>
  <si>
    <t>Target Sales</t>
  </si>
  <si>
    <t>Bonus Scheme</t>
  </si>
  <si>
    <t>Required Days</t>
  </si>
  <si>
    <t>Days Present</t>
  </si>
  <si>
    <t>Fariha</t>
  </si>
  <si>
    <t>Nadia</t>
  </si>
  <si>
    <t>Sufeena</t>
  </si>
  <si>
    <t>Fahad</t>
  </si>
  <si>
    <t>Ashan</t>
  </si>
  <si>
    <t>Attendance</t>
  </si>
  <si>
    <t>Salary</t>
  </si>
  <si>
    <t>Akash</t>
  </si>
  <si>
    <t>Dania</t>
  </si>
  <si>
    <t>Payal</t>
  </si>
  <si>
    <t>Fiza</t>
  </si>
  <si>
    <t>Vlookup</t>
  </si>
  <si>
    <t>Code</t>
  </si>
  <si>
    <t>Price</t>
  </si>
  <si>
    <t>Category</t>
  </si>
  <si>
    <t>P001</t>
  </si>
  <si>
    <t>P002</t>
  </si>
  <si>
    <t>P003</t>
  </si>
  <si>
    <t>P004</t>
  </si>
  <si>
    <t>P005</t>
  </si>
  <si>
    <t>P006</t>
  </si>
  <si>
    <t>Laptop</t>
  </si>
  <si>
    <t>Pencil</t>
  </si>
  <si>
    <t>Chair</t>
  </si>
  <si>
    <t>Mobile</t>
  </si>
  <si>
    <t>Book</t>
  </si>
  <si>
    <t>Case</t>
  </si>
  <si>
    <t>Electronics</t>
  </si>
  <si>
    <t>Stationary</t>
  </si>
  <si>
    <t>Furniture</t>
  </si>
  <si>
    <t>Stationaryy</t>
  </si>
  <si>
    <t>Cities</t>
  </si>
  <si>
    <t>Sales</t>
  </si>
  <si>
    <t>Karachi</t>
  </si>
  <si>
    <t>Lahore</t>
  </si>
  <si>
    <t>Larkana</t>
  </si>
  <si>
    <t>Mirpurkhas</t>
  </si>
  <si>
    <t>Hyderabad</t>
  </si>
  <si>
    <t>Islamabad</t>
  </si>
  <si>
    <t>SUMIF</t>
  </si>
  <si>
    <t>Expense</t>
  </si>
  <si>
    <t>Travel</t>
  </si>
  <si>
    <t>Food</t>
  </si>
  <si>
    <t>Hotel</t>
  </si>
  <si>
    <t>Coach</t>
  </si>
  <si>
    <t>Beach</t>
  </si>
  <si>
    <t>ID</t>
  </si>
  <si>
    <t>EMP001</t>
  </si>
  <si>
    <t>EMP002</t>
  </si>
  <si>
    <t>EMP004</t>
  </si>
  <si>
    <t>EMP006</t>
  </si>
  <si>
    <t>EMP003</t>
  </si>
  <si>
    <t>EMP005</t>
  </si>
  <si>
    <t>Present</t>
  </si>
  <si>
    <t>Absent</t>
  </si>
  <si>
    <t>COUNTIF</t>
  </si>
  <si>
    <t>Sadia</t>
  </si>
  <si>
    <t>Faheem</t>
  </si>
  <si>
    <t>Sanam</t>
  </si>
  <si>
    <t>Iqra</t>
  </si>
  <si>
    <t>Naveed</t>
  </si>
  <si>
    <t>Gulab</t>
  </si>
  <si>
    <t>TODAY</t>
  </si>
  <si>
    <t>YEAR</t>
  </si>
  <si>
    <t>MONTH</t>
  </si>
  <si>
    <t>AGE</t>
  </si>
  <si>
    <t>Dept</t>
  </si>
  <si>
    <t>Riyaz</t>
  </si>
  <si>
    <t>Nigma</t>
  </si>
  <si>
    <t>Saya</t>
  </si>
  <si>
    <t>Deepak</t>
  </si>
  <si>
    <t>Avni</t>
  </si>
  <si>
    <t>Shivani</t>
  </si>
  <si>
    <t>HR</t>
  </si>
  <si>
    <t>Admin</t>
  </si>
  <si>
    <t>Amount</t>
  </si>
  <si>
    <t>Date</t>
  </si>
  <si>
    <t>Tasks:</t>
  </si>
  <si>
    <t>2.Total sales of Sales dept</t>
  </si>
  <si>
    <t>1. Total sales of  Employee 101.</t>
  </si>
  <si>
    <t>Sales(dept)</t>
  </si>
  <si>
    <t>VLOOKUP/SUMIF</t>
  </si>
  <si>
    <t>3.Count  transcations in january month</t>
  </si>
  <si>
    <t>Product Code</t>
  </si>
  <si>
    <t>Quantity</t>
  </si>
  <si>
    <t>Total</t>
  </si>
  <si>
    <t>Smartwatch</t>
  </si>
  <si>
    <t>Ipad</t>
  </si>
  <si>
    <t>TASKS</t>
  </si>
  <si>
    <t>1. Auto-fil the Price using VLOOKUP.</t>
  </si>
  <si>
    <t>2. Total = Quantity * Price</t>
  </si>
  <si>
    <t>3. All Grand Total</t>
  </si>
  <si>
    <t>Grand total</t>
  </si>
  <si>
    <t>Region</t>
  </si>
  <si>
    <t>Product</t>
  </si>
  <si>
    <t>SUMIFS</t>
  </si>
  <si>
    <t>Total sales of laptop from karachi</t>
  </si>
  <si>
    <t>Total Sales from Lahore greater than 60,000</t>
  </si>
  <si>
    <t>Total Sales of Paid orders in Jan month</t>
  </si>
  <si>
    <t>Amout</t>
  </si>
  <si>
    <t>Status</t>
  </si>
  <si>
    <t>Paid</t>
  </si>
  <si>
    <t>Pending</t>
  </si>
  <si>
    <t>IT</t>
  </si>
  <si>
    <t>Male</t>
  </si>
  <si>
    <t>Female</t>
  </si>
  <si>
    <t>Gender</t>
  </si>
  <si>
    <t>Dept:Sales, Region:Karachi, Gender:Male</t>
  </si>
  <si>
    <t>Table 1</t>
  </si>
  <si>
    <t>Table 2</t>
  </si>
  <si>
    <t>Table 3</t>
  </si>
  <si>
    <t>Total Sales dept Employee from Karachi</t>
  </si>
  <si>
    <t>In first 3 days How many are present</t>
  </si>
  <si>
    <t>COUNTIFS</t>
  </si>
  <si>
    <t>Employees Sales Range b/w 30000 to 50000</t>
  </si>
  <si>
    <t>Salesperson</t>
  </si>
  <si>
    <t>Ahmed</t>
  </si>
  <si>
    <t>Mouse</t>
  </si>
  <si>
    <t>Sara</t>
  </si>
  <si>
    <t>Zain</t>
  </si>
  <si>
    <t>Keyboard</t>
  </si>
  <si>
    <t>Target</t>
  </si>
  <si>
    <t>Joining Date</t>
  </si>
  <si>
    <t>Ahmed Khan</t>
  </si>
  <si>
    <t>Sara Ali</t>
  </si>
  <si>
    <t>Zain Ahmed</t>
  </si>
  <si>
    <t>table 1</t>
  </si>
  <si>
    <t>table 1 and 2</t>
  </si>
  <si>
    <t>table 2</t>
  </si>
  <si>
    <t>Product ID</t>
  </si>
  <si>
    <t>IFERROR</t>
  </si>
  <si>
    <t>Phone</t>
  </si>
  <si>
    <t>Sabeen</t>
  </si>
  <si>
    <t>0300-23453</t>
  </si>
  <si>
    <t>0300-56536</t>
  </si>
  <si>
    <t>0300-98793</t>
  </si>
  <si>
    <t>0300-79842</t>
  </si>
  <si>
    <t>0300-87942</t>
  </si>
  <si>
    <t>Email</t>
  </si>
  <si>
    <t>komal@company.com</t>
  </si>
  <si>
    <t>sabeen@company.com</t>
  </si>
  <si>
    <t>razia@company.com</t>
  </si>
  <si>
    <t>sohail@company.com</t>
  </si>
  <si>
    <t>darshan@company.com</t>
  </si>
  <si>
    <t xml:space="preserve">  Razia   </t>
  </si>
  <si>
    <t xml:space="preserve">   Sohail   </t>
  </si>
  <si>
    <t xml:space="preserve">    Darshan</t>
  </si>
  <si>
    <t>LEFT</t>
  </si>
  <si>
    <t>RIGHT</t>
  </si>
  <si>
    <t>MID</t>
  </si>
  <si>
    <t>TRIM</t>
  </si>
  <si>
    <t>MIDD</t>
  </si>
  <si>
    <t>Total Sales of Laptop from Karachi</t>
  </si>
  <si>
    <t>How many Items Ahmed sale</t>
  </si>
  <si>
    <t>In first 10 days January total sales</t>
  </si>
  <si>
    <t>If product is not found then display message</t>
  </si>
  <si>
    <t>Ahmed Experience in years</t>
  </si>
  <si>
    <t>DATEDIF</t>
  </si>
  <si>
    <t>Nested IF</t>
  </si>
  <si>
    <t>Rahul</t>
  </si>
  <si>
    <t>Sagar</t>
  </si>
  <si>
    <t>Sonia</t>
  </si>
  <si>
    <t>Priya</t>
  </si>
  <si>
    <t>INDEX-MATCH</t>
  </si>
  <si>
    <t>ProdID</t>
  </si>
  <si>
    <t>Camera</t>
  </si>
  <si>
    <t>Keypad</t>
  </si>
  <si>
    <t>Stock</t>
  </si>
  <si>
    <t>Wire</t>
  </si>
  <si>
    <t>Thatta</t>
  </si>
  <si>
    <t>Mithi</t>
  </si>
  <si>
    <t>Row Labels</t>
  </si>
  <si>
    <t>Grand Total</t>
  </si>
  <si>
    <t>Column Labels</t>
  </si>
  <si>
    <t>Products</t>
  </si>
  <si>
    <t>Region wise sales based on products</t>
  </si>
  <si>
    <t>Region wise Sales</t>
  </si>
  <si>
    <t>Number of Transactions</t>
  </si>
  <si>
    <t>(All)</t>
  </si>
  <si>
    <t>Monitor</t>
  </si>
  <si>
    <t>Sum of Amount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</si>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</sst>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164" formatCode="[$-409]d/mmm/yyyy;@"/>
    <numFmt numFmtId="173" formatCode="_(&quot;$&quot;* #,##0_);_(&quot;$&quot;* \(#,##0\);_(&quot;$&quot;* &quot;-&quot;??_);_(@_)"/>
  </numFmts>
  <fonts count="8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theme="1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66FF3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44" fontId="7" fillId="0" borderId="0" applyFont="0" applyFill="0" applyBorder="0" applyAlignment="0" applyProtection="0"/>
  </cellStyleXfs>
  <cellXfs count="48">
    <xf numFmtId="0" fontId="0" fillId="0" borderId="0" xfId="0"/>
    <xf numFmtId="164" fontId="1" fillId="2" borderId="1" xfId="0" applyNumberFormat="1" applyFont="1" applyFill="1" applyBorder="1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4" borderId="0" xfId="0" applyFill="1"/>
    <xf numFmtId="0" fontId="0" fillId="5" borderId="0" xfId="0" applyFill="1"/>
    <xf numFmtId="14" fontId="0" fillId="0" borderId="0" xfId="0" applyNumberFormat="1"/>
    <xf numFmtId="0" fontId="0" fillId="0" borderId="0" xfId="0" applyAlignment="1"/>
    <xf numFmtId="0" fontId="0" fillId="7" borderId="0" xfId="0" applyFill="1"/>
    <xf numFmtId="14" fontId="0" fillId="7" borderId="0" xfId="0" applyNumberFormat="1" applyFill="1"/>
    <xf numFmtId="0" fontId="2" fillId="0" borderId="0" xfId="0" applyFont="1"/>
    <xf numFmtId="0" fontId="5" fillId="9" borderId="0" xfId="0" applyFont="1" applyFill="1"/>
    <xf numFmtId="0" fontId="0" fillId="10" borderId="0" xfId="0" applyFill="1"/>
    <xf numFmtId="0" fontId="2" fillId="4" borderId="0" xfId="0" applyFont="1" applyFill="1"/>
    <xf numFmtId="0" fontId="2" fillId="10" borderId="0" xfId="0" applyFont="1" applyFill="1"/>
    <xf numFmtId="0" fontId="0" fillId="4" borderId="1" xfId="0" applyFill="1" applyBorder="1"/>
    <xf numFmtId="14" fontId="0" fillId="5" borderId="1" xfId="0" applyNumberFormat="1" applyFill="1" applyBorder="1"/>
    <xf numFmtId="0" fontId="0" fillId="5" borderId="1" xfId="0" applyFill="1" applyBorder="1"/>
    <xf numFmtId="164" fontId="0" fillId="4" borderId="1" xfId="0" applyNumberFormat="1" applyFill="1" applyBorder="1"/>
    <xf numFmtId="0" fontId="0" fillId="5" borderId="2" xfId="0" applyFill="1" applyBorder="1"/>
    <xf numFmtId="0" fontId="0" fillId="5" borderId="1" xfId="0" applyNumberFormat="1" applyFill="1" applyBorder="1"/>
    <xf numFmtId="164" fontId="0" fillId="4" borderId="0" xfId="0" applyNumberFormat="1" applyFill="1" applyBorder="1"/>
    <xf numFmtId="0" fontId="0" fillId="5" borderId="0" xfId="0" applyNumberFormat="1" applyFill="1" applyBorder="1"/>
    <xf numFmtId="14" fontId="0" fillId="11" borderId="0" xfId="0" applyNumberFormat="1" applyFill="1"/>
    <xf numFmtId="0" fontId="0" fillId="11" borderId="0" xfId="0" applyFill="1"/>
    <xf numFmtId="0" fontId="1" fillId="6" borderId="4" xfId="0" applyFont="1" applyFill="1" applyBorder="1"/>
    <xf numFmtId="0" fontId="1" fillId="6" borderId="5" xfId="0" applyFont="1" applyFill="1" applyBorder="1"/>
    <xf numFmtId="0" fontId="2" fillId="0" borderId="0" xfId="0" applyFont="1" applyAlignment="1">
      <alignment horizontal="center" vertical="center" wrapText="1"/>
    </xf>
    <xf numFmtId="15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14" fontId="0" fillId="0" borderId="1" xfId="0" applyNumberFormat="1" applyBorder="1"/>
    <xf numFmtId="0" fontId="2" fillId="2" borderId="0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/>
    </xf>
    <xf numFmtId="0" fontId="0" fillId="8" borderId="3" xfId="0" applyFill="1" applyBorder="1" applyAlignment="1">
      <alignment horizontal="left"/>
    </xf>
    <xf numFmtId="0" fontId="0" fillId="8" borderId="0" xfId="0" applyFill="1" applyBorder="1" applyAlignment="1">
      <alignment horizontal="left"/>
    </xf>
    <xf numFmtId="0" fontId="0" fillId="8" borderId="0" xfId="0" applyFont="1" applyFill="1" applyAlignment="1">
      <alignment horizontal="left"/>
    </xf>
    <xf numFmtId="0" fontId="0" fillId="8" borderId="0" xfId="0" applyFill="1" applyAlignment="1">
      <alignment horizontal="left"/>
    </xf>
    <xf numFmtId="0" fontId="0" fillId="0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73" fontId="0" fillId="0" borderId="1" xfId="2" applyNumberFormat="1" applyFont="1" applyBorder="1"/>
    <xf numFmtId="173" fontId="0" fillId="0" borderId="0" xfId="2" applyNumberFormat="1" applyFont="1"/>
    <xf numFmtId="14" fontId="0" fillId="0" borderId="0" xfId="0" pivotButton="1" applyNumberFormat="1"/>
  </cellXfs>
  <cellStyles count="3">
    <cellStyle name="Currency" xfId="2" builtinId="4"/>
    <cellStyle name="Hyperlink" xfId="1" builtinId="8"/>
    <cellStyle name="Normal" xfId="0" builtinId="0"/>
  </cellStyles>
  <dxfs count="2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numFmt numFmtId="19" formatCode="dd/mm/yy"/>
    </dxf>
    <dxf>
      <numFmt numFmtId="19" formatCode="dd/mm/yy"/>
    </dxf>
    <dxf>
      <numFmt numFmtId="164" formatCode="[$-409]d/mmm/yyyy;@"/>
    </dxf>
    <dxf>
      <numFmt numFmtId="20" formatCode="dd/mmm/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19" formatCode="dd/mm/yy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4"/>
          <bgColor theme="4"/>
        </patternFill>
      </fill>
    </dxf>
    <dxf>
      <numFmt numFmtId="19" formatCode="dd/mm/yy"/>
    </dxf>
    <dxf>
      <numFmt numFmtId="19" formatCode="dd/mm/yy"/>
    </dxf>
  </dxfs>
  <tableStyles count="0" defaultTableStyle="TableStyleMedium2" defaultPivotStyle="PivotStyleLight16"/>
  <colors>
    <mruColors>
      <color rgb="FF669900"/>
      <color rgb="FF0000FF"/>
      <color rgb="FF00FFFF"/>
      <color rgb="FFFF0066"/>
      <color rgb="FF66FF33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6070.611522453706" createdVersion="6" refreshedVersion="6" minRefreshableVersion="3" recordCount="14">
  <cacheSource type="worksheet">
    <worksheetSource ref="A1:D15" sheet="PIVOT TABLE (1)"/>
  </cacheSource>
  <cacheFields count="4">
    <cacheField name="Region" numFmtId="0">
      <sharedItems count="5">
        <s v="Karachi"/>
        <s v="Mithi"/>
        <s v="Thatta"/>
        <s v="Lahore"/>
        <s v="Hyderabad"/>
      </sharedItems>
    </cacheField>
    <cacheField name="Product" numFmtId="0">
      <sharedItems count="4">
        <s v="Laptop"/>
        <s v="Mobile"/>
        <s v="Mouse"/>
        <s v="Camera"/>
      </sharedItems>
    </cacheField>
    <cacheField name="Salesperson" numFmtId="0">
      <sharedItems/>
    </cacheField>
    <cacheField name="Sales" numFmtId="0">
      <sharedItems containsSemiMixedTypes="0" containsString="0" containsNumber="1" containsInteger="1" minValue="500" maxValue="8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indows User" refreshedDate="46070.651970254628" createdVersion="6" refreshedVersion="6" minRefreshableVersion="3" recordCount="24">
  <cacheSource type="worksheet">
    <worksheetSource ref="A1:E25" sheet="PIVOT TABLE (2)"/>
  </cacheSource>
  <cacheFields count="6">
    <cacheField name="Date" numFmtId="0">
      <sharedItems containsSemiMixedTypes="0" containsDate="1" containsString="0" containsMixedTypes="1" minDate="1900-01-01T09:51:04" maxDate="2024-12-28T00:00:00" count="24">
        <n v="45296"/>
        <n v="45301"/>
        <n v="45337"/>
        <n v="45342"/>
        <n v="45356"/>
        <n v="45369"/>
        <n v="45389"/>
        <n v="45404"/>
        <n v="45424"/>
        <n v="45440"/>
        <n v="45449"/>
        <n v="45462"/>
        <n v="45481"/>
        <n v="45494"/>
        <n v="45513"/>
        <n v="45528"/>
        <n v="45546"/>
        <n v="45561"/>
        <d v="2024-10-03T00:00:00"/>
        <d v="2024-10-17T00:00:00"/>
        <d v="2024-11-04T00:00:00"/>
        <d v="2024-11-23T00:00:00"/>
        <d v="2024-12-10T00:00:00"/>
        <d v="2024-12-27T00:00:00"/>
      </sharedItems>
      <fieldGroup par="5"/>
    </cacheField>
    <cacheField name="Region" numFmtId="0">
      <sharedItems count="2">
        <s v="Karachi"/>
        <s v="Lahore"/>
      </sharedItems>
    </cacheField>
    <cacheField name="Product" numFmtId="0">
      <sharedItems/>
    </cacheField>
    <cacheField name="Salesperson" numFmtId="0">
      <sharedItems/>
    </cacheField>
    <cacheField name="Amount" numFmtId="173">
      <sharedItems containsSemiMixedTypes="0" containsString="0" containsNumber="1" containsInteger="1" minValue="500" maxValue="90000"/>
    </cacheField>
    <cacheField name="Date2" numFmtId="0" databaseField="0">
      <fieldGroup base="0">
        <discretePr count="24">
          <x v="0"/>
          <x v="0"/>
          <x v="1"/>
          <x v="1"/>
          <x v="2"/>
          <x v="2"/>
          <x v="3"/>
          <x v="3"/>
          <x v="4"/>
          <x v="4"/>
          <x v="5"/>
          <x v="5"/>
          <x v="6"/>
          <x v="6"/>
          <x v="7"/>
          <x v="7"/>
          <x v="8"/>
          <x v="8"/>
          <x v="9"/>
          <x v="9"/>
          <x v="10"/>
          <x v="10"/>
          <x v="11"/>
          <x v="11"/>
        </discretePr>
        <groupItems count="12">
          <s v="Group1"/>
          <s v="Group2"/>
          <s v="Group3"/>
          <s v="Group4"/>
          <s v="Group5"/>
          <s v="Group6"/>
          <s v="Group7"/>
          <s v="Group8"/>
          <s v="Group9"/>
          <s v="Group10"/>
          <s v="Group11"/>
          <s v="Group1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">
  <r>
    <x v="0"/>
    <x v="0"/>
    <s v="Ahmed"/>
    <n v="75000"/>
  </r>
  <r>
    <x v="1"/>
    <x v="1"/>
    <s v="Sara"/>
    <n v="500"/>
  </r>
  <r>
    <x v="2"/>
    <x v="2"/>
    <s v="Ahmed"/>
    <n v="80000"/>
  </r>
  <r>
    <x v="3"/>
    <x v="3"/>
    <s v="Sara"/>
    <n v="72000"/>
  </r>
  <r>
    <x v="0"/>
    <x v="2"/>
    <s v="Zain"/>
    <n v="600"/>
  </r>
  <r>
    <x v="4"/>
    <x v="1"/>
    <s v="Rahul"/>
    <n v="58000"/>
  </r>
  <r>
    <x v="1"/>
    <x v="3"/>
    <s v="Sagar"/>
    <n v="45000"/>
  </r>
  <r>
    <x v="4"/>
    <x v="0"/>
    <s v="Deepak"/>
    <n v="80000"/>
  </r>
  <r>
    <x v="3"/>
    <x v="2"/>
    <s v="Sonia"/>
    <n v="1500"/>
  </r>
  <r>
    <x v="2"/>
    <x v="0"/>
    <s v="Priya"/>
    <n v="78000"/>
  </r>
  <r>
    <x v="4"/>
    <x v="3"/>
    <s v="Sadia"/>
    <n v="25000"/>
  </r>
  <r>
    <x v="0"/>
    <x v="2"/>
    <s v="Faheem"/>
    <n v="2300"/>
  </r>
  <r>
    <x v="1"/>
    <x v="1"/>
    <s v="Sanam"/>
    <n v="43000"/>
  </r>
  <r>
    <x v="3"/>
    <x v="0"/>
    <s v="Iqra"/>
    <n v="85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4">
  <r>
    <x v="0"/>
    <x v="0"/>
    <s v="Laptop"/>
    <s v="Ahmed"/>
    <n v="75000"/>
  </r>
  <r>
    <x v="1"/>
    <x v="1"/>
    <s v="Mouse"/>
    <s v="Sara"/>
    <n v="500"/>
  </r>
  <r>
    <x v="2"/>
    <x v="0"/>
    <s v="Laptop"/>
    <s v="Zain"/>
    <n v="80000"/>
  </r>
  <r>
    <x v="3"/>
    <x v="1"/>
    <s v="Keyboard"/>
    <s v="Ahmed"/>
    <n v="1200"/>
  </r>
  <r>
    <x v="4"/>
    <x v="0"/>
    <s v="Monitor"/>
    <s v="Sara"/>
    <n v="25000"/>
  </r>
  <r>
    <x v="5"/>
    <x v="1"/>
    <s v="Laptop"/>
    <s v="Zain"/>
    <n v="78000"/>
  </r>
  <r>
    <x v="6"/>
    <x v="0"/>
    <s v="Mouse"/>
    <s v="Ahmed"/>
    <n v="700"/>
  </r>
  <r>
    <x v="7"/>
    <x v="1"/>
    <s v="Monitor"/>
    <s v="Sara"/>
    <n v="27000"/>
  </r>
  <r>
    <x v="8"/>
    <x v="0"/>
    <s v="Keyboard"/>
    <s v="Zain"/>
    <n v="1500"/>
  </r>
  <r>
    <x v="9"/>
    <x v="1"/>
    <s v="Laptop"/>
    <s v="Ahmed"/>
    <n v="82000"/>
  </r>
  <r>
    <x v="10"/>
    <x v="0"/>
    <s v="Laptop"/>
    <s v="Sara"/>
    <n v="79000"/>
  </r>
  <r>
    <x v="11"/>
    <x v="1"/>
    <s v="Mouse"/>
    <s v="Zain"/>
    <n v="650"/>
  </r>
  <r>
    <x v="12"/>
    <x v="0"/>
    <s v="Monitor"/>
    <s v="Ahmed"/>
    <n v="26000"/>
  </r>
  <r>
    <x v="13"/>
    <x v="1"/>
    <s v="Keyboard"/>
    <s v="Sara"/>
    <n v="1400"/>
  </r>
  <r>
    <x v="14"/>
    <x v="0"/>
    <s v="Laptop"/>
    <s v="Zain"/>
    <n v="83000"/>
  </r>
  <r>
    <x v="15"/>
    <x v="1"/>
    <s v="Monitor"/>
    <s v="Ahmed"/>
    <n v="25500"/>
  </r>
  <r>
    <x v="16"/>
    <x v="0"/>
    <s v="Mouse"/>
    <s v="Sara"/>
    <n v="600"/>
  </r>
  <r>
    <x v="17"/>
    <x v="1"/>
    <s v="Laptop"/>
    <s v="Zain"/>
    <n v="81000"/>
  </r>
  <r>
    <x v="18"/>
    <x v="0"/>
    <s v="Keyboard"/>
    <s v="Ahmed"/>
    <n v="1600"/>
  </r>
  <r>
    <x v="19"/>
    <x v="1"/>
    <s v="Mouse"/>
    <s v="Sara"/>
    <n v="750"/>
  </r>
  <r>
    <x v="20"/>
    <x v="0"/>
    <s v="Laptop"/>
    <s v="Zain"/>
    <n v="85000"/>
  </r>
  <r>
    <x v="21"/>
    <x v="1"/>
    <s v="Monitor"/>
    <s v="Ahmed"/>
    <n v="28000"/>
  </r>
  <r>
    <x v="22"/>
    <x v="0"/>
    <s v="Monitor"/>
    <s v="Sara"/>
    <n v="30000"/>
  </r>
  <r>
    <x v="23"/>
    <x v="1"/>
    <s v="Laptop"/>
    <s v="Ahmed"/>
    <n v="9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5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Region">
  <location ref="F21:F22" firstHeaderRow="1" firstDataRow="1" firstDataCol="0" rowPageCount="1" colPageCount="1"/>
  <pivotFields count="4">
    <pivotField axis="axisPage" showAll="0">
      <items count="6">
        <item x="4"/>
        <item x="0"/>
        <item x="3"/>
        <item x="1"/>
        <item x="2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dataField="1" showAll="0"/>
  </pivotFields>
  <rowItems count="1">
    <i/>
  </rowItems>
  <colItems count="1">
    <i/>
  </colItems>
  <pageFields count="1">
    <pageField fld="0" hier="-1"/>
  </pageFields>
  <dataFields count="1">
    <dataField name="Number of Transactions" fld="3" subtotal="count" baseField="0" baseItem="2"/>
  </dataField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Region">
  <location ref="I11:J17" firstHeaderRow="1" firstDataRow="1" firstDataCol="1"/>
  <pivotFields count="4">
    <pivotField axis="axisRow" showAll="0">
      <items count="6">
        <item x="4"/>
        <item x="0"/>
        <item x="3"/>
        <item x="1"/>
        <item x="2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Number of Transactions" fld="3" subtotal="count" baseField="0" baseItem="2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Region" colHeaderCaption="Products">
  <location ref="F2:K9" firstHeaderRow="1" firstDataRow="2" firstDataCol="1"/>
  <pivotFields count="4">
    <pivotField axis="axisRow" showAll="0">
      <items count="6">
        <item x="4"/>
        <item x="0"/>
        <item x="3"/>
        <item x="1"/>
        <item x="2"/>
        <item t="default"/>
      </items>
    </pivotField>
    <pivotField axis="axisCol" showAll="0">
      <items count="5">
        <item x="3"/>
        <item x="0"/>
        <item x="1"/>
        <item x="2"/>
        <item t="default"/>
      </items>
    </pivotField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Region wise sales based on products" fld="3" baseField="0" baseItem="0"/>
  </dataField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Region">
  <location ref="F11:G17" firstHeaderRow="1" firstDataRow="1" firstDataCol="1"/>
  <pivotFields count="4">
    <pivotField axis="axisRow" showAll="0">
      <items count="6">
        <item x="4"/>
        <item x="0"/>
        <item x="3"/>
        <item x="1"/>
        <item x="2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Region wise Sales" fld="3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3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1:J15" firstHeaderRow="1" firstDataRow="2" firstDataCol="1"/>
  <pivotFields count="6"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dataField="1" numFmtId="173" showAll="0"/>
    <pivotField axis="axisRow" showAll="0" defaultSubtotal="0">
      <items count="12">
        <item n="Jan" sd="0" x="0"/>
        <item n="Feb" sd="0" x="1"/>
        <item n="Mar" sd="0" x="2"/>
        <item n="Apr" sd="0" x="3"/>
        <item n="May" sd="0" x="4"/>
        <item n="Jun" sd="0" x="5"/>
        <item n="Jul" sd="0" x="6"/>
        <item n="Aug" sd="0" x="7"/>
        <item n="Sep" sd="0" x="8"/>
        <item n="Oct" sd="0" x="9"/>
        <item n="Nov" sd="0" x="10"/>
        <item n="Dec" sd="0" x="11"/>
      </items>
    </pivotField>
  </pivotFields>
  <rowFields count="2">
    <field x="5"/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Amount" fld="4" baseField="0" baseItem="0"/>
  </dataFields>
  <formats count="3">
    <format dxfId="3">
      <pivotArea field="0" type="button" dataOnly="0" labelOnly="1" outline="0" axis="axisRow" fieldPosition="1"/>
    </format>
    <format dxfId="4">
      <pivotArea dataOnly="0" labelOnly="1" fieldPosition="0">
        <references count="1">
          <reference field="0" count="0"/>
        </references>
      </pivotArea>
    </format>
    <format dxfId="5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5" name="Product_Sales" displayName="Product_Sales" ref="A1:C7" totalsRowShown="0">
  <autoFilter ref="A1:C7"/>
  <tableColumns count="3">
    <tableColumn id="1" name="Region"/>
    <tableColumn id="2" name="Product"/>
    <tableColumn id="3" name="S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6" name="Table6" displayName="Table6" ref="E1:G7" totalsRowShown="0">
  <autoFilter ref="E1:G7"/>
  <tableColumns count="3">
    <tableColumn id="1" name="Date" dataDxfId="19"/>
    <tableColumn id="2" name="Amout"/>
    <tableColumn id="3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7" name="Employees" displayName="Employees" ref="I1:L6" totalsRowShown="0">
  <autoFilter ref="I1:L6"/>
  <tableColumns count="4">
    <tableColumn id="1" name="Dept"/>
    <tableColumn id="2" name="Region"/>
    <tableColumn id="3" name="Sales"/>
    <tableColumn id="4" name="Gend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1" name="Employees12" displayName="Employees12" ref="A1:D6" totalsRowShown="0">
  <autoFilter ref="A1:D6"/>
  <tableColumns count="4">
    <tableColumn id="1" name="Dept"/>
    <tableColumn id="2" name="Region"/>
    <tableColumn id="3" name="Sales"/>
    <tableColumn id="4" name="Gend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2" name="Attendance" displayName="Attendance" ref="F1:G6" totalsRowShown="0">
  <autoFilter ref="F1:G6"/>
  <tableColumns count="2">
    <tableColumn id="1" name="Date" dataDxfId="18"/>
    <tableColumn id="2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13" name="Salary" displayName="Salary" ref="I1:J6" totalsRowShown="0" headerRowDxfId="17" headerRowBorderDxfId="16" tableBorderDxfId="15">
  <autoFilter ref="I1:J6"/>
  <tableColumns count="2">
    <tableColumn id="1" name="Dept"/>
    <tableColumn id="2" name="Sal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1" name="Employee" displayName="Employee" ref="A1:C7" totalsRowShown="0">
  <autoFilter ref="A1:C7"/>
  <tableColumns count="3">
    <tableColumn id="1" name="Emp ID"/>
    <tableColumn id="2" name="Name"/>
    <tableColumn id="3" name="Dep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2" name="Sales" displayName="Sales" ref="E1:H7" totalsRowShown="0">
  <autoFilter ref="E1:H7"/>
  <tableColumns count="4">
    <tableColumn id="1" name="Emp ID"/>
    <tableColumn id="2" name="Amount"/>
    <tableColumn id="3" name="Date" dataDxfId="14"/>
    <tableColumn id="4" name="Sales(dept)" dataDxfId="13">
      <calculatedColumnFormula>VLOOKUP(Sales[[#This Row],[Emp ID]],Employee[#All],3,0)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3" name="Products" displayName="Products" ref="A1:C5" totalsRowShown="0">
  <autoFilter ref="A1:C5"/>
  <tableColumns count="3">
    <tableColumn id="1" name="Code"/>
    <tableColumn id="2" name="Name"/>
    <tableColumn id="3" name="Pric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4" name="Invoice" displayName="Invoice" ref="E1:H6" totalsRowShown="0">
  <autoFilter ref="E1:H6"/>
  <tableColumns count="4">
    <tableColumn id="1" name="Product Code"/>
    <tableColumn id="2" name="Quantity"/>
    <tableColumn id="3" name="Price"/>
    <tableColumn id="4" name="Tota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5" name="Table15" displayName="Table15" ref="I1:M4" totalsRowShown="0" headerRowDxfId="12" dataDxfId="11">
  <autoFilter ref="I1:M4"/>
  <tableColumns count="5">
    <tableColumn id="1" name="Name" dataDxfId="10"/>
    <tableColumn id="2" name="Dept" dataDxfId="9"/>
    <tableColumn id="3" name="Sales" dataDxfId="8"/>
    <tableColumn id="4" name="Target" dataDxfId="7"/>
    <tableColumn id="5" name="Joining Date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razia@company.com" TargetMode="External"/><Relationship Id="rId2" Type="http://schemas.openxmlformats.org/officeDocument/2006/relationships/hyperlink" Target="mailto:sabeen@company.com" TargetMode="External"/><Relationship Id="rId1" Type="http://schemas.openxmlformats.org/officeDocument/2006/relationships/hyperlink" Target="mailto:komal@company.com" TargetMode="External"/><Relationship Id="rId5" Type="http://schemas.openxmlformats.org/officeDocument/2006/relationships/hyperlink" Target="mailto:darshan@company.com" TargetMode="External"/><Relationship Id="rId4" Type="http://schemas.openxmlformats.org/officeDocument/2006/relationships/hyperlink" Target="mailto:sohail@company.com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3.bin"/><Relationship Id="rId4" Type="http://schemas.openxmlformats.org/officeDocument/2006/relationships/pivotTable" Target="../pivotTables/pivot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M6"/>
  <sheetViews>
    <sheetView workbookViewId="0">
      <selection activeCell="M3" sqref="M3"/>
    </sheetView>
  </sheetViews>
  <sheetFormatPr defaultRowHeight="14.25" x14ac:dyDescent="0.2"/>
  <cols>
    <col min="1" max="1" width="10.25" bestFit="1" customWidth="1"/>
    <col min="6" max="6" width="11.625" bestFit="1" customWidth="1"/>
    <col min="7" max="7" width="12.125" bestFit="1" customWidth="1"/>
    <col min="8" max="8" width="14.375" bestFit="1" customWidth="1"/>
    <col min="11" max="11" width="13.125" bestFit="1" customWidth="1"/>
    <col min="12" max="12" width="12" bestFit="1" customWidth="1"/>
  </cols>
  <sheetData>
    <row r="1" spans="1:13" ht="15" x14ac:dyDescent="0.25">
      <c r="A1" s="1" t="s">
        <v>1</v>
      </c>
      <c r="B1" s="2" t="s">
        <v>0</v>
      </c>
      <c r="C1" s="2" t="s">
        <v>2</v>
      </c>
      <c r="E1" s="1" t="s">
        <v>8</v>
      </c>
      <c r="F1" s="2" t="s">
        <v>9</v>
      </c>
      <c r="G1" s="2" t="s">
        <v>10</v>
      </c>
      <c r="H1" s="1" t="s">
        <v>11</v>
      </c>
      <c r="J1" s="2" t="s">
        <v>1</v>
      </c>
      <c r="K1" s="2" t="s">
        <v>12</v>
      </c>
      <c r="L1" s="2" t="s">
        <v>13</v>
      </c>
      <c r="M1" s="2" t="s">
        <v>19</v>
      </c>
    </row>
    <row r="2" spans="1:13" x14ac:dyDescent="0.2">
      <c r="A2" s="3" t="s">
        <v>3</v>
      </c>
      <c r="B2" s="3">
        <v>65</v>
      </c>
      <c r="C2" s="4" t="str">
        <f>IF(B2&gt;60,"Pass","Fail")</f>
        <v>Pass</v>
      </c>
      <c r="E2" s="3">
        <v>101</v>
      </c>
      <c r="F2" s="3">
        <v>45000</v>
      </c>
      <c r="G2" s="3">
        <v>40000</v>
      </c>
      <c r="H2" s="4" t="str">
        <f>IF(F2&gt;=G2, "Bonus","No Bonus")</f>
        <v>Bonus</v>
      </c>
      <c r="J2" s="3" t="s">
        <v>14</v>
      </c>
      <c r="K2" s="3">
        <v>22</v>
      </c>
      <c r="L2" s="3">
        <v>25</v>
      </c>
      <c r="M2" s="4" t="str">
        <f>IF(L2&gt;=K2,"Good","Warning")</f>
        <v>Good</v>
      </c>
    </row>
    <row r="3" spans="1:13" x14ac:dyDescent="0.2">
      <c r="A3" s="3" t="s">
        <v>4</v>
      </c>
      <c r="B3" s="3">
        <v>45</v>
      </c>
      <c r="C3" s="4" t="str">
        <f>IF(B3&gt;60,"Pass","Fail")</f>
        <v>Fail</v>
      </c>
      <c r="E3" s="3">
        <v>102</v>
      </c>
      <c r="F3" s="3">
        <v>50000</v>
      </c>
      <c r="G3" s="3">
        <v>40000</v>
      </c>
      <c r="H3" s="4" t="str">
        <f>IF(F3&gt;=G3, "Bonus","No Bonus")</f>
        <v>Bonus</v>
      </c>
      <c r="J3" s="3" t="s">
        <v>15</v>
      </c>
      <c r="K3" s="3">
        <v>22</v>
      </c>
      <c r="L3" s="3">
        <v>18</v>
      </c>
      <c r="M3" s="4" t="str">
        <f>IF(L3&gt;=K3,"Good","Warning")</f>
        <v>Warning</v>
      </c>
    </row>
    <row r="4" spans="1:13" x14ac:dyDescent="0.2">
      <c r="A4" s="3" t="s">
        <v>5</v>
      </c>
      <c r="B4" s="3">
        <v>75</v>
      </c>
      <c r="C4" s="4" t="str">
        <f>IF(B4&gt;60,"Pass","Fail")</f>
        <v>Pass</v>
      </c>
      <c r="E4" s="3">
        <v>103</v>
      </c>
      <c r="F4" s="3">
        <v>35000</v>
      </c>
      <c r="G4" s="3">
        <v>40000</v>
      </c>
      <c r="H4" s="4" t="str">
        <f>IF(F4&gt;=G4, "Bonus","No Bonus")</f>
        <v>No Bonus</v>
      </c>
      <c r="J4" s="3" t="s">
        <v>16</v>
      </c>
      <c r="K4" s="3">
        <v>22</v>
      </c>
      <c r="L4" s="3">
        <v>22</v>
      </c>
      <c r="M4" s="4" t="str">
        <f>IF(L4&gt;=K4,"Good","Warning")</f>
        <v>Good</v>
      </c>
    </row>
    <row r="5" spans="1:13" x14ac:dyDescent="0.2">
      <c r="A5" s="3" t="s">
        <v>6</v>
      </c>
      <c r="B5" s="3">
        <v>83</v>
      </c>
      <c r="C5" s="4" t="str">
        <f>IF(B5&gt;60,"Pass","Fail")</f>
        <v>Pass</v>
      </c>
      <c r="E5" s="3">
        <v>104</v>
      </c>
      <c r="F5" s="3">
        <v>48000</v>
      </c>
      <c r="G5" s="3">
        <v>40000</v>
      </c>
      <c r="H5" s="4" t="str">
        <f>IF(F5&gt;=G5, "Bonus","No Bonus")</f>
        <v>Bonus</v>
      </c>
      <c r="J5" s="3" t="s">
        <v>17</v>
      </c>
      <c r="K5" s="3">
        <v>22</v>
      </c>
      <c r="L5" s="3">
        <v>15</v>
      </c>
      <c r="M5" s="4" t="str">
        <f>IF(L5&gt;=K5,"Good","Warning")</f>
        <v>Warning</v>
      </c>
    </row>
    <row r="6" spans="1:13" x14ac:dyDescent="0.2">
      <c r="A6" s="3" t="s">
        <v>7</v>
      </c>
      <c r="B6" s="3">
        <v>35</v>
      </c>
      <c r="C6" s="4" t="str">
        <f>IF(B6&gt;60,"Pass","Fail")</f>
        <v>Fail</v>
      </c>
      <c r="E6" s="3">
        <v>105</v>
      </c>
      <c r="F6" s="3">
        <v>32000</v>
      </c>
      <c r="G6" s="3">
        <v>40000</v>
      </c>
      <c r="H6" s="4" t="str">
        <f>IF(F6&gt;=G6, "Bonus","No Bonus")</f>
        <v>No Bonus</v>
      </c>
      <c r="J6" s="3" t="s">
        <v>18</v>
      </c>
      <c r="K6" s="3">
        <v>22</v>
      </c>
      <c r="L6" s="3">
        <v>27</v>
      </c>
      <c r="M6" s="4" t="str">
        <f>IF(L6&gt;=K6,"Good","Warning")</f>
        <v>Good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M9"/>
  <sheetViews>
    <sheetView workbookViewId="0">
      <selection activeCell="C18" sqref="C18"/>
    </sheetView>
  </sheetViews>
  <sheetFormatPr defaultRowHeight="14.25" x14ac:dyDescent="0.2"/>
  <cols>
    <col min="1" max="1" width="7.25" bestFit="1" customWidth="1"/>
    <col min="2" max="2" width="6.125" bestFit="1" customWidth="1"/>
    <col min="3" max="3" width="6.25" bestFit="1" customWidth="1"/>
    <col min="5" max="5" width="7.25" bestFit="1" customWidth="1"/>
    <col min="6" max="6" width="6.375" bestFit="1" customWidth="1"/>
    <col min="7" max="7" width="5.875" bestFit="1" customWidth="1"/>
    <col min="8" max="8" width="10" bestFit="1" customWidth="1"/>
    <col min="13" max="13" width="10" bestFit="1" customWidth="1"/>
  </cols>
  <sheetData>
    <row r="1" spans="1:13" ht="15" x14ac:dyDescent="0.25">
      <c r="A1" s="1" t="s">
        <v>8</v>
      </c>
      <c r="B1" s="2" t="s">
        <v>1</v>
      </c>
      <c r="C1" s="2" t="s">
        <v>20</v>
      </c>
      <c r="E1" s="1" t="s">
        <v>26</v>
      </c>
      <c r="F1" s="2" t="s">
        <v>1</v>
      </c>
      <c r="G1" s="2" t="s">
        <v>27</v>
      </c>
      <c r="H1" s="1" t="s">
        <v>28</v>
      </c>
      <c r="J1" s="1" t="s">
        <v>26</v>
      </c>
      <c r="K1" s="2" t="s">
        <v>1</v>
      </c>
      <c r="L1" s="2" t="s">
        <v>27</v>
      </c>
      <c r="M1" s="1" t="s">
        <v>28</v>
      </c>
    </row>
    <row r="2" spans="1:13" x14ac:dyDescent="0.2">
      <c r="A2" s="3">
        <v>101</v>
      </c>
      <c r="B2" s="3" t="s">
        <v>4</v>
      </c>
      <c r="C2" s="3">
        <v>50000</v>
      </c>
      <c r="E2" s="3" t="s">
        <v>29</v>
      </c>
      <c r="F2" s="3" t="s">
        <v>35</v>
      </c>
      <c r="G2" s="3">
        <v>75000</v>
      </c>
      <c r="H2" s="3" t="s">
        <v>41</v>
      </c>
      <c r="J2" s="3" t="s">
        <v>29</v>
      </c>
      <c r="K2" s="3" t="s">
        <v>35</v>
      </c>
      <c r="L2" s="3">
        <v>75000</v>
      </c>
      <c r="M2" s="3" t="s">
        <v>41</v>
      </c>
    </row>
    <row r="3" spans="1:13" x14ac:dyDescent="0.2">
      <c r="A3" s="3">
        <v>102</v>
      </c>
      <c r="B3" s="3" t="s">
        <v>17</v>
      </c>
      <c r="C3" s="3">
        <v>30000</v>
      </c>
      <c r="E3" s="3" t="s">
        <v>30</v>
      </c>
      <c r="F3" s="3" t="s">
        <v>36</v>
      </c>
      <c r="G3" s="3">
        <v>10</v>
      </c>
      <c r="H3" s="3" t="s">
        <v>42</v>
      </c>
      <c r="J3" s="3" t="s">
        <v>30</v>
      </c>
      <c r="K3" s="3" t="s">
        <v>36</v>
      </c>
      <c r="L3" s="3">
        <v>10</v>
      </c>
      <c r="M3" s="3" t="s">
        <v>42</v>
      </c>
    </row>
    <row r="4" spans="1:13" x14ac:dyDescent="0.2">
      <c r="A4" s="3">
        <v>103</v>
      </c>
      <c r="B4" s="3" t="s">
        <v>21</v>
      </c>
      <c r="C4" s="3">
        <v>40000</v>
      </c>
      <c r="E4" s="3" t="s">
        <v>31</v>
      </c>
      <c r="F4" s="3" t="s">
        <v>37</v>
      </c>
      <c r="G4" s="3">
        <v>5000</v>
      </c>
      <c r="H4" s="3" t="s">
        <v>43</v>
      </c>
      <c r="J4" s="3" t="s">
        <v>31</v>
      </c>
      <c r="K4" s="3" t="s">
        <v>37</v>
      </c>
      <c r="L4" s="3"/>
      <c r="M4" s="3" t="s">
        <v>43</v>
      </c>
    </row>
    <row r="5" spans="1:13" x14ac:dyDescent="0.2">
      <c r="A5" s="3">
        <v>104</v>
      </c>
      <c r="B5" s="3" t="s">
        <v>22</v>
      </c>
      <c r="C5" s="3">
        <v>65000</v>
      </c>
      <c r="E5" s="3" t="s">
        <v>32</v>
      </c>
      <c r="F5" s="3" t="s">
        <v>38</v>
      </c>
      <c r="G5" s="3">
        <v>50000</v>
      </c>
      <c r="H5" s="3" t="s">
        <v>41</v>
      </c>
      <c r="J5" s="3" t="s">
        <v>32</v>
      </c>
      <c r="K5" s="3" t="s">
        <v>38</v>
      </c>
      <c r="L5" s="3">
        <v>50000</v>
      </c>
      <c r="M5" s="3" t="s">
        <v>41</v>
      </c>
    </row>
    <row r="6" spans="1:13" x14ac:dyDescent="0.2">
      <c r="A6" s="3">
        <v>105</v>
      </c>
      <c r="B6" s="3" t="s">
        <v>23</v>
      </c>
      <c r="C6" s="3">
        <v>35000</v>
      </c>
      <c r="E6" s="3" t="s">
        <v>33</v>
      </c>
      <c r="F6" s="3" t="s">
        <v>39</v>
      </c>
      <c r="G6" s="3">
        <v>800</v>
      </c>
      <c r="H6" s="3" t="s">
        <v>44</v>
      </c>
      <c r="J6" s="3" t="s">
        <v>33</v>
      </c>
      <c r="K6" s="3" t="s">
        <v>39</v>
      </c>
      <c r="L6" s="3">
        <v>800</v>
      </c>
      <c r="M6" s="3" t="s">
        <v>44</v>
      </c>
    </row>
    <row r="7" spans="1:13" x14ac:dyDescent="0.2">
      <c r="A7" s="3">
        <v>106</v>
      </c>
      <c r="B7" s="3" t="s">
        <v>24</v>
      </c>
      <c r="C7" s="3">
        <v>55000</v>
      </c>
      <c r="E7" s="3" t="s">
        <v>34</v>
      </c>
      <c r="F7" s="3" t="s">
        <v>40</v>
      </c>
      <c r="G7" s="3">
        <v>5400</v>
      </c>
      <c r="H7" s="3" t="s">
        <v>43</v>
      </c>
      <c r="J7" s="3" t="s">
        <v>34</v>
      </c>
      <c r="K7" s="3" t="s">
        <v>40</v>
      </c>
      <c r="L7" s="3">
        <v>5400</v>
      </c>
      <c r="M7" s="3" t="s">
        <v>43</v>
      </c>
    </row>
    <row r="9" spans="1:13" x14ac:dyDescent="0.2">
      <c r="A9" s="5" t="s">
        <v>25</v>
      </c>
      <c r="B9" s="6">
        <f>VLOOKUP(A3,A2:C7,3,0)</f>
        <v>30000</v>
      </c>
      <c r="E9" s="5" t="s">
        <v>25</v>
      </c>
      <c r="F9" s="6">
        <f>VLOOKUP("P004",E2:H7,3,0)</f>
        <v>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9"/>
  <sheetViews>
    <sheetView workbookViewId="0">
      <selection activeCell="C13" sqref="C13"/>
    </sheetView>
  </sheetViews>
  <sheetFormatPr defaultRowHeight="14.25" x14ac:dyDescent="0.2"/>
  <sheetData>
    <row r="1" spans="1:8" ht="15" x14ac:dyDescent="0.25">
      <c r="A1" s="1" t="s">
        <v>45</v>
      </c>
      <c r="B1" s="2" t="s">
        <v>46</v>
      </c>
      <c r="D1" s="1" t="s">
        <v>45</v>
      </c>
      <c r="E1" s="2" t="s">
        <v>46</v>
      </c>
      <c r="G1" s="1" t="s">
        <v>28</v>
      </c>
      <c r="H1" s="2" t="s">
        <v>54</v>
      </c>
    </row>
    <row r="2" spans="1:8" x14ac:dyDescent="0.2">
      <c r="A2" s="3" t="s">
        <v>47</v>
      </c>
      <c r="B2" s="3">
        <v>50000</v>
      </c>
      <c r="D2" s="3" t="s">
        <v>47</v>
      </c>
      <c r="E2" s="3">
        <v>50000</v>
      </c>
      <c r="G2" s="3" t="s">
        <v>55</v>
      </c>
      <c r="H2" s="3">
        <v>5000</v>
      </c>
    </row>
    <row r="3" spans="1:8" x14ac:dyDescent="0.2">
      <c r="A3" s="3" t="s">
        <v>48</v>
      </c>
      <c r="B3" s="3">
        <v>75000</v>
      </c>
      <c r="D3" s="3" t="s">
        <v>51</v>
      </c>
      <c r="E3" s="3">
        <v>75000</v>
      </c>
      <c r="G3" s="3" t="s">
        <v>56</v>
      </c>
      <c r="H3" s="3">
        <v>7500</v>
      </c>
    </row>
    <row r="4" spans="1:8" x14ac:dyDescent="0.2">
      <c r="A4" s="3" t="s">
        <v>49</v>
      </c>
      <c r="B4" s="3">
        <v>45000</v>
      </c>
      <c r="D4" s="3" t="s">
        <v>47</v>
      </c>
      <c r="E4" s="3">
        <v>45000</v>
      </c>
      <c r="G4" s="3" t="s">
        <v>57</v>
      </c>
      <c r="H4" s="3">
        <v>12000</v>
      </c>
    </row>
    <row r="5" spans="1:8" x14ac:dyDescent="0.2">
      <c r="A5" s="3" t="s">
        <v>52</v>
      </c>
      <c r="B5" s="3">
        <v>55000</v>
      </c>
      <c r="D5" s="3" t="s">
        <v>49</v>
      </c>
      <c r="E5" s="3">
        <v>55000</v>
      </c>
      <c r="G5" s="3" t="s">
        <v>58</v>
      </c>
      <c r="H5" s="3">
        <v>2000</v>
      </c>
    </row>
    <row r="6" spans="1:8" x14ac:dyDescent="0.2">
      <c r="A6" s="3" t="s">
        <v>50</v>
      </c>
      <c r="B6" s="3">
        <v>75000</v>
      </c>
      <c r="D6" s="3" t="s">
        <v>47</v>
      </c>
      <c r="E6" s="3">
        <v>75000</v>
      </c>
      <c r="G6" s="3" t="s">
        <v>55</v>
      </c>
      <c r="H6" s="3">
        <v>4500</v>
      </c>
    </row>
    <row r="7" spans="1:8" x14ac:dyDescent="0.2">
      <c r="A7" s="3" t="s">
        <v>51</v>
      </c>
      <c r="B7" s="3">
        <v>40000</v>
      </c>
      <c r="D7" s="3" t="s">
        <v>51</v>
      </c>
      <c r="E7" s="3">
        <v>40000</v>
      </c>
      <c r="G7" s="3" t="s">
        <v>59</v>
      </c>
      <c r="H7" s="3">
        <v>2500</v>
      </c>
    </row>
    <row r="9" spans="1:8" x14ac:dyDescent="0.2">
      <c r="A9" s="5" t="s">
        <v>53</v>
      </c>
      <c r="B9" s="6">
        <f>SUMIF(B2:B7,"&gt;40000",B2:B7)</f>
        <v>300000</v>
      </c>
      <c r="D9" s="5" t="s">
        <v>53</v>
      </c>
      <c r="E9" s="6">
        <f>SUMIF(D2:D7,"Karachi",E2:E7)</f>
        <v>170000</v>
      </c>
      <c r="G9" s="5" t="s">
        <v>53</v>
      </c>
      <c r="H9" s="6">
        <f>SUMIF(G2:G7,"Travel",H2:H7)</f>
        <v>9500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9"/>
  <sheetViews>
    <sheetView workbookViewId="0">
      <selection activeCell="E2" sqref="E2:E7"/>
    </sheetView>
  </sheetViews>
  <sheetFormatPr defaultRowHeight="14.25" x14ac:dyDescent="0.2"/>
  <cols>
    <col min="2" max="2" width="10.875" bestFit="1" customWidth="1"/>
  </cols>
  <sheetData>
    <row r="1" spans="1:6" ht="15" x14ac:dyDescent="0.25">
      <c r="A1" s="1" t="s">
        <v>60</v>
      </c>
      <c r="B1" s="2" t="s">
        <v>19</v>
      </c>
      <c r="D1" s="1" t="s">
        <v>60</v>
      </c>
      <c r="E1" s="2" t="s">
        <v>1</v>
      </c>
      <c r="F1" s="1" t="s">
        <v>46</v>
      </c>
    </row>
    <row r="2" spans="1:6" x14ac:dyDescent="0.2">
      <c r="A2" s="3" t="s">
        <v>61</v>
      </c>
      <c r="B2" s="3" t="s">
        <v>67</v>
      </c>
      <c r="D2" s="3">
        <v>101</v>
      </c>
      <c r="E2" s="3" t="s">
        <v>70</v>
      </c>
      <c r="F2" s="3">
        <v>40000</v>
      </c>
    </row>
    <row r="3" spans="1:6" x14ac:dyDescent="0.2">
      <c r="A3" s="3" t="s">
        <v>62</v>
      </c>
      <c r="B3" s="3" t="s">
        <v>68</v>
      </c>
      <c r="D3" s="3">
        <v>102</v>
      </c>
      <c r="E3" s="3" t="s">
        <v>71</v>
      </c>
      <c r="F3" s="3">
        <v>54000</v>
      </c>
    </row>
    <row r="4" spans="1:6" x14ac:dyDescent="0.2">
      <c r="A4" s="3" t="s">
        <v>65</v>
      </c>
      <c r="B4" s="3" t="s">
        <v>67</v>
      </c>
      <c r="D4" s="3">
        <v>103</v>
      </c>
      <c r="E4" s="3" t="s">
        <v>72</v>
      </c>
      <c r="F4" s="3">
        <v>38000</v>
      </c>
    </row>
    <row r="5" spans="1:6" x14ac:dyDescent="0.2">
      <c r="A5" s="3" t="s">
        <v>63</v>
      </c>
      <c r="B5" s="3" t="s">
        <v>67</v>
      </c>
      <c r="D5" s="3">
        <v>104</v>
      </c>
      <c r="E5" s="3" t="s">
        <v>73</v>
      </c>
      <c r="F5" s="3">
        <v>45000</v>
      </c>
    </row>
    <row r="6" spans="1:6" x14ac:dyDescent="0.2">
      <c r="A6" s="3" t="s">
        <v>66</v>
      </c>
      <c r="B6" s="3" t="s">
        <v>68</v>
      </c>
      <c r="D6" s="3">
        <v>105</v>
      </c>
      <c r="E6" s="3" t="s">
        <v>74</v>
      </c>
      <c r="F6" s="3">
        <v>50000</v>
      </c>
    </row>
    <row r="7" spans="1:6" x14ac:dyDescent="0.2">
      <c r="A7" s="3" t="s">
        <v>64</v>
      </c>
      <c r="B7" s="3" t="s">
        <v>67</v>
      </c>
      <c r="D7" s="3">
        <v>106</v>
      </c>
      <c r="E7" s="3" t="s">
        <v>75</v>
      </c>
      <c r="F7" s="3">
        <v>25000</v>
      </c>
    </row>
    <row r="9" spans="1:6" x14ac:dyDescent="0.2">
      <c r="A9" s="5" t="s">
        <v>69</v>
      </c>
      <c r="B9" s="6">
        <f>COUNTIF(B2:B7,"Present")</f>
        <v>4</v>
      </c>
      <c r="D9" s="5" t="s">
        <v>69</v>
      </c>
      <c r="E9" s="6">
        <f>COUNTIF(F2:F7,"&gt;40000")</f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C4"/>
  <sheetViews>
    <sheetView tabSelected="1" workbookViewId="0">
      <selection activeCell="A5" sqref="A5"/>
    </sheetView>
  </sheetViews>
  <sheetFormatPr defaultRowHeight="14.25" x14ac:dyDescent="0.2"/>
  <cols>
    <col min="2" max="2" width="10.25" bestFit="1" customWidth="1"/>
    <col min="3" max="3" width="11" bestFit="1" customWidth="1"/>
  </cols>
  <sheetData>
    <row r="1" spans="1:3" x14ac:dyDescent="0.2">
      <c r="A1" s="16" t="s">
        <v>76</v>
      </c>
      <c r="B1" s="17">
        <f ca="1">TODAY()</f>
        <v>46070</v>
      </c>
    </row>
    <row r="2" spans="1:3" x14ac:dyDescent="0.2">
      <c r="A2" s="16" t="s">
        <v>77</v>
      </c>
      <c r="B2" s="18">
        <f ca="1">YEAR(B1)</f>
        <v>2026</v>
      </c>
    </row>
    <row r="3" spans="1:3" x14ac:dyDescent="0.2">
      <c r="A3" s="16" t="s">
        <v>78</v>
      </c>
      <c r="B3" s="20">
        <f ca="1">MONTH(B1)</f>
        <v>2</v>
      </c>
    </row>
    <row r="4" spans="1:3" x14ac:dyDescent="0.2">
      <c r="A4" s="16" t="s">
        <v>79</v>
      </c>
      <c r="B4" s="19">
        <v>37839</v>
      </c>
      <c r="C4" s="21">
        <f ca="1">DATEDIF(B4,TODAY(),"Y")</f>
        <v>22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L16"/>
  <sheetViews>
    <sheetView workbookViewId="0">
      <selection activeCell="A17" sqref="A17"/>
    </sheetView>
  </sheetViews>
  <sheetFormatPr defaultRowHeight="14.25" x14ac:dyDescent="0.2"/>
  <cols>
    <col min="1" max="1" width="9.125" customWidth="1"/>
    <col min="2" max="2" width="9.75" customWidth="1"/>
    <col min="10" max="10" width="9.125" customWidth="1"/>
    <col min="12" max="12" width="9.5" customWidth="1"/>
  </cols>
  <sheetData>
    <row r="1" spans="1:12" x14ac:dyDescent="0.2">
      <c r="A1" t="s">
        <v>107</v>
      </c>
      <c r="B1" t="s">
        <v>108</v>
      </c>
      <c r="C1" t="s">
        <v>46</v>
      </c>
      <c r="E1" t="s">
        <v>90</v>
      </c>
      <c r="F1" t="s">
        <v>113</v>
      </c>
      <c r="G1" t="s">
        <v>114</v>
      </c>
      <c r="I1" t="s">
        <v>80</v>
      </c>
      <c r="J1" t="s">
        <v>107</v>
      </c>
      <c r="K1" t="s">
        <v>46</v>
      </c>
      <c r="L1" t="s">
        <v>120</v>
      </c>
    </row>
    <row r="2" spans="1:12" x14ac:dyDescent="0.2">
      <c r="A2" s="25" t="s">
        <v>47</v>
      </c>
      <c r="B2" s="25" t="s">
        <v>35</v>
      </c>
      <c r="C2" s="25">
        <v>75000</v>
      </c>
      <c r="E2" s="24">
        <v>45296</v>
      </c>
      <c r="F2" s="25">
        <v>5000</v>
      </c>
      <c r="G2" s="25" t="s">
        <v>115</v>
      </c>
      <c r="I2" s="25" t="s">
        <v>46</v>
      </c>
      <c r="J2" s="25" t="s">
        <v>47</v>
      </c>
      <c r="K2" s="25">
        <v>45000</v>
      </c>
      <c r="L2" s="25" t="s">
        <v>118</v>
      </c>
    </row>
    <row r="3" spans="1:12" x14ac:dyDescent="0.2">
      <c r="A3" t="s">
        <v>49</v>
      </c>
      <c r="B3" t="s">
        <v>38</v>
      </c>
      <c r="C3">
        <v>55000</v>
      </c>
      <c r="E3" s="7">
        <v>45299</v>
      </c>
      <c r="F3">
        <v>7000</v>
      </c>
      <c r="G3" t="s">
        <v>116</v>
      </c>
      <c r="I3" t="s">
        <v>87</v>
      </c>
      <c r="J3" t="s">
        <v>48</v>
      </c>
      <c r="K3">
        <v>38000</v>
      </c>
      <c r="L3" t="s">
        <v>119</v>
      </c>
    </row>
    <row r="4" spans="1:12" x14ac:dyDescent="0.2">
      <c r="A4" t="s">
        <v>47</v>
      </c>
      <c r="B4" t="s">
        <v>38</v>
      </c>
      <c r="C4">
        <v>70000</v>
      </c>
      <c r="E4" s="24">
        <v>45303</v>
      </c>
      <c r="F4" s="25">
        <v>4500</v>
      </c>
      <c r="G4" s="25" t="s">
        <v>115</v>
      </c>
      <c r="I4" t="s">
        <v>46</v>
      </c>
      <c r="J4" t="s">
        <v>47</v>
      </c>
      <c r="K4">
        <v>50000</v>
      </c>
      <c r="L4" t="s">
        <v>119</v>
      </c>
    </row>
    <row r="5" spans="1:12" x14ac:dyDescent="0.2">
      <c r="A5" s="6" t="s">
        <v>49</v>
      </c>
      <c r="B5" s="6" t="s">
        <v>35</v>
      </c>
      <c r="C5" s="6">
        <v>80000</v>
      </c>
      <c r="E5" s="7">
        <v>45306</v>
      </c>
      <c r="F5">
        <v>3800</v>
      </c>
      <c r="G5" t="s">
        <v>116</v>
      </c>
      <c r="I5" t="s">
        <v>117</v>
      </c>
      <c r="J5" t="s">
        <v>47</v>
      </c>
      <c r="K5">
        <v>55000</v>
      </c>
      <c r="L5" t="s">
        <v>118</v>
      </c>
    </row>
    <row r="6" spans="1:12" x14ac:dyDescent="0.2">
      <c r="A6" s="6" t="s">
        <v>49</v>
      </c>
      <c r="B6" s="6" t="s">
        <v>38</v>
      </c>
      <c r="C6" s="6">
        <v>68000</v>
      </c>
      <c r="E6" s="7">
        <v>45313</v>
      </c>
      <c r="F6">
        <v>5600</v>
      </c>
      <c r="G6" t="s">
        <v>116</v>
      </c>
      <c r="I6" s="25" t="s">
        <v>46</v>
      </c>
      <c r="J6" s="25" t="s">
        <v>47</v>
      </c>
      <c r="K6" s="25">
        <v>42000</v>
      </c>
      <c r="L6" s="25" t="s">
        <v>118</v>
      </c>
    </row>
    <row r="7" spans="1:12" x14ac:dyDescent="0.2">
      <c r="A7" s="25" t="s">
        <v>47</v>
      </c>
      <c r="B7" s="25" t="s">
        <v>35</v>
      </c>
      <c r="C7" s="25">
        <v>85000</v>
      </c>
      <c r="E7" s="24">
        <v>45319</v>
      </c>
      <c r="F7" s="25">
        <v>48000</v>
      </c>
      <c r="G7" s="25" t="s">
        <v>115</v>
      </c>
    </row>
    <row r="9" spans="1:12" x14ac:dyDescent="0.2">
      <c r="A9" s="36" t="s">
        <v>110</v>
      </c>
      <c r="B9" s="36"/>
      <c r="C9" s="36"/>
      <c r="D9" s="36"/>
      <c r="E9" t="s">
        <v>122</v>
      </c>
    </row>
    <row r="10" spans="1:12" x14ac:dyDescent="0.2">
      <c r="A10" s="19" t="s">
        <v>109</v>
      </c>
      <c r="B10" s="21">
        <f>SUMIFS(Product_Sales[Sales],Product_Sales[Region],"Karachi",Product_Sales[Product],"Laptop")</f>
        <v>160000</v>
      </c>
    </row>
    <row r="11" spans="1:12" x14ac:dyDescent="0.2">
      <c r="A11" s="36" t="s">
        <v>111</v>
      </c>
      <c r="B11" s="36"/>
      <c r="C11" s="36"/>
      <c r="D11" s="36"/>
    </row>
    <row r="12" spans="1:12" x14ac:dyDescent="0.2">
      <c r="A12" s="22" t="s">
        <v>109</v>
      </c>
      <c r="B12" s="23">
        <f>SUMIFS(Product_Sales[Sales],Product_Sales[Region],"Larkana",Product_Sales[Sales],"&gt;60000")</f>
        <v>148000</v>
      </c>
    </row>
    <row r="13" spans="1:12" x14ac:dyDescent="0.2">
      <c r="A13" s="36" t="s">
        <v>112</v>
      </c>
      <c r="B13" s="36"/>
      <c r="C13" s="36"/>
      <c r="D13" s="36"/>
      <c r="E13" t="s">
        <v>123</v>
      </c>
    </row>
    <row r="14" spans="1:12" x14ac:dyDescent="0.2">
      <c r="A14" s="22" t="s">
        <v>109</v>
      </c>
      <c r="B14" s="23">
        <f>SUMIFS(Table6[Amout],Table6[Date],"&gt;=01-01-2024",Table6[Date],"&lt;=31-01-2024",Table6[Status], "Paid")</f>
        <v>57500</v>
      </c>
    </row>
    <row r="15" spans="1:12" x14ac:dyDescent="0.2">
      <c r="A15" s="36" t="s">
        <v>121</v>
      </c>
      <c r="B15" s="36"/>
      <c r="C15" s="36"/>
      <c r="D15" s="36"/>
      <c r="E15" t="s">
        <v>124</v>
      </c>
    </row>
    <row r="16" spans="1:12" x14ac:dyDescent="0.2">
      <c r="A16" s="22" t="s">
        <v>109</v>
      </c>
      <c r="B16" s="23">
        <f>SUMIFS(Employees[Sales],Employees[Dept],"Sales",Employees[Region],"Karachi",Employees[Gender],"Male")</f>
        <v>87000</v>
      </c>
    </row>
  </sheetData>
  <mergeCells count="4">
    <mergeCell ref="A11:D11"/>
    <mergeCell ref="A9:D9"/>
    <mergeCell ref="A13:D13"/>
    <mergeCell ref="A15:D15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3"/>
  <sheetViews>
    <sheetView workbookViewId="0">
      <selection activeCell="A14" sqref="A14"/>
    </sheetView>
  </sheetViews>
  <sheetFormatPr defaultRowHeight="14.25" x14ac:dyDescent="0.2"/>
  <cols>
    <col min="1" max="1" width="10.125" bestFit="1" customWidth="1"/>
    <col min="2" max="2" width="9.75" customWidth="1"/>
    <col min="10" max="10" width="9.125" customWidth="1"/>
    <col min="12" max="12" width="9.5" customWidth="1"/>
  </cols>
  <sheetData>
    <row r="1" spans="1:10" ht="15" x14ac:dyDescent="0.25">
      <c r="A1" t="s">
        <v>80</v>
      </c>
      <c r="B1" t="s">
        <v>107</v>
      </c>
      <c r="C1" t="s">
        <v>46</v>
      </c>
      <c r="D1" t="s">
        <v>120</v>
      </c>
      <c r="F1" t="s">
        <v>90</v>
      </c>
      <c r="G1" t="s">
        <v>114</v>
      </c>
      <c r="I1" s="26" t="s">
        <v>80</v>
      </c>
      <c r="J1" s="27" t="s">
        <v>46</v>
      </c>
    </row>
    <row r="2" spans="1:10" x14ac:dyDescent="0.2">
      <c r="A2" s="9" t="s">
        <v>46</v>
      </c>
      <c r="B2" s="9" t="s">
        <v>47</v>
      </c>
      <c r="C2" s="9">
        <v>45000</v>
      </c>
      <c r="D2" s="9" t="s">
        <v>118</v>
      </c>
      <c r="F2" s="7">
        <v>45292</v>
      </c>
      <c r="G2" t="s">
        <v>67</v>
      </c>
      <c r="I2" t="s">
        <v>46</v>
      </c>
      <c r="J2">
        <v>45000</v>
      </c>
    </row>
    <row r="3" spans="1:10" x14ac:dyDescent="0.2">
      <c r="A3" t="s">
        <v>87</v>
      </c>
      <c r="B3" t="s">
        <v>48</v>
      </c>
      <c r="C3">
        <v>38000</v>
      </c>
      <c r="D3" t="s">
        <v>119</v>
      </c>
      <c r="F3" s="7">
        <v>45293</v>
      </c>
      <c r="G3" t="s">
        <v>68</v>
      </c>
      <c r="I3" t="s">
        <v>87</v>
      </c>
      <c r="J3">
        <v>38000</v>
      </c>
    </row>
    <row r="4" spans="1:10" x14ac:dyDescent="0.2">
      <c r="A4" s="9" t="s">
        <v>46</v>
      </c>
      <c r="B4" s="9" t="s">
        <v>47</v>
      </c>
      <c r="C4" s="9">
        <v>50000</v>
      </c>
      <c r="D4" s="9" t="s">
        <v>119</v>
      </c>
      <c r="F4" s="7">
        <v>45294</v>
      </c>
      <c r="G4" t="s">
        <v>67</v>
      </c>
      <c r="I4" t="s">
        <v>46</v>
      </c>
      <c r="J4">
        <v>50000</v>
      </c>
    </row>
    <row r="5" spans="1:10" x14ac:dyDescent="0.2">
      <c r="A5" t="s">
        <v>117</v>
      </c>
      <c r="B5" t="s">
        <v>47</v>
      </c>
      <c r="C5">
        <v>55000</v>
      </c>
      <c r="D5" t="s">
        <v>118</v>
      </c>
      <c r="F5" s="7">
        <v>45295</v>
      </c>
      <c r="G5" t="s">
        <v>68</v>
      </c>
      <c r="I5" t="s">
        <v>117</v>
      </c>
      <c r="J5">
        <v>55000</v>
      </c>
    </row>
    <row r="6" spans="1:10" x14ac:dyDescent="0.2">
      <c r="A6" s="9" t="s">
        <v>46</v>
      </c>
      <c r="B6" s="9" t="s">
        <v>47</v>
      </c>
      <c r="C6" s="9">
        <v>42000</v>
      </c>
      <c r="D6" s="9" t="s">
        <v>118</v>
      </c>
      <c r="F6" s="7">
        <v>45296</v>
      </c>
      <c r="G6" t="s">
        <v>67</v>
      </c>
      <c r="I6" t="s">
        <v>46</v>
      </c>
      <c r="J6">
        <v>42000</v>
      </c>
    </row>
    <row r="8" spans="1:10" x14ac:dyDescent="0.2">
      <c r="A8" s="37" t="s">
        <v>125</v>
      </c>
      <c r="B8" s="38"/>
      <c r="C8" s="38"/>
      <c r="D8" s="38"/>
      <c r="E8" t="s">
        <v>122</v>
      </c>
    </row>
    <row r="9" spans="1:10" x14ac:dyDescent="0.2">
      <c r="A9" s="19" t="s">
        <v>127</v>
      </c>
      <c r="B9" s="21">
        <f>COUNTIFS(Employees12[Dept],"Sales",Employees12[Region],"Karachi")</f>
        <v>3</v>
      </c>
    </row>
    <row r="10" spans="1:10" x14ac:dyDescent="0.2">
      <c r="A10" s="37" t="s">
        <v>126</v>
      </c>
      <c r="B10" s="38"/>
      <c r="C10" s="38"/>
      <c r="D10" s="38"/>
      <c r="E10" t="s">
        <v>123</v>
      </c>
    </row>
    <row r="11" spans="1:10" x14ac:dyDescent="0.2">
      <c r="A11" s="19" t="s">
        <v>127</v>
      </c>
      <c r="B11" s="21">
        <f>COUNTIFS(Attendance[Date],"&gt;=01-01-2024",Attendance[Date],"&lt;=03-01-2024",Attendance[Status],"Present")</f>
        <v>2</v>
      </c>
    </row>
    <row r="12" spans="1:10" x14ac:dyDescent="0.2">
      <c r="A12" s="37" t="s">
        <v>128</v>
      </c>
      <c r="B12" s="38"/>
      <c r="C12" s="38"/>
      <c r="D12" s="38"/>
      <c r="E12" t="s">
        <v>124</v>
      </c>
    </row>
    <row r="13" spans="1:10" x14ac:dyDescent="0.2">
      <c r="A13" s="19" t="s">
        <v>127</v>
      </c>
      <c r="B13" s="21">
        <f>COUNTIFS(Salary[Sales],"&gt;=30000",Salary[Sales],"&lt;=50000")</f>
        <v>4</v>
      </c>
    </row>
  </sheetData>
  <mergeCells count="3">
    <mergeCell ref="A8:D8"/>
    <mergeCell ref="A10:D10"/>
    <mergeCell ref="A12:D12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249977111117893"/>
  </sheetPr>
  <dimension ref="A1:C8"/>
  <sheetViews>
    <sheetView workbookViewId="0">
      <selection activeCell="A9" sqref="A9"/>
    </sheetView>
  </sheetViews>
  <sheetFormatPr defaultRowHeight="14.25" x14ac:dyDescent="0.2"/>
  <cols>
    <col min="1" max="1" width="10.25" bestFit="1" customWidth="1"/>
    <col min="2" max="2" width="10.75" bestFit="1" customWidth="1"/>
    <col min="3" max="3" width="5.875" bestFit="1" customWidth="1"/>
  </cols>
  <sheetData>
    <row r="1" spans="1:3" ht="15" x14ac:dyDescent="0.25">
      <c r="A1" s="1" t="s">
        <v>143</v>
      </c>
      <c r="B1" s="2" t="s">
        <v>1</v>
      </c>
      <c r="C1" s="1" t="s">
        <v>27</v>
      </c>
    </row>
    <row r="2" spans="1:3" x14ac:dyDescent="0.2">
      <c r="A2" s="3">
        <v>101</v>
      </c>
      <c r="B2" s="3" t="s">
        <v>35</v>
      </c>
      <c r="C2" s="3">
        <v>75000</v>
      </c>
    </row>
    <row r="3" spans="1:3" x14ac:dyDescent="0.2">
      <c r="A3" s="3">
        <v>102</v>
      </c>
      <c r="B3" s="3" t="s">
        <v>38</v>
      </c>
      <c r="C3" s="3">
        <v>55000</v>
      </c>
    </row>
    <row r="4" spans="1:3" x14ac:dyDescent="0.2">
      <c r="A4" s="3">
        <v>103</v>
      </c>
      <c r="B4" s="3"/>
      <c r="C4" s="3">
        <v>4500</v>
      </c>
    </row>
    <row r="5" spans="1:3" x14ac:dyDescent="0.2">
      <c r="A5" s="3">
        <v>104</v>
      </c>
      <c r="B5" s="3" t="s">
        <v>100</v>
      </c>
      <c r="C5" s="3">
        <v>40000</v>
      </c>
    </row>
    <row r="6" spans="1:3" x14ac:dyDescent="0.2">
      <c r="A6" s="3">
        <v>105</v>
      </c>
      <c r="B6" s="3" t="s">
        <v>134</v>
      </c>
      <c r="C6" s="3">
        <v>1500</v>
      </c>
    </row>
    <row r="8" spans="1:3" x14ac:dyDescent="0.2">
      <c r="A8" s="19" t="s">
        <v>144</v>
      </c>
      <c r="B8" s="21" t="str">
        <f>IFERROR(VLOOKUP("Mouse",A1:C6,3,0),"Not Found")</f>
        <v>Not Found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E12"/>
  <sheetViews>
    <sheetView workbookViewId="0">
      <selection activeCell="A13" sqref="A13"/>
    </sheetView>
  </sheetViews>
  <sheetFormatPr defaultRowHeight="14.25" x14ac:dyDescent="0.2"/>
  <cols>
    <col min="1" max="1" width="6.75" customWidth="1"/>
    <col min="2" max="2" width="9.875" bestFit="1" customWidth="1"/>
    <col min="3" max="3" width="10.5" bestFit="1" customWidth="1"/>
    <col min="4" max="4" width="21.375" bestFit="1" customWidth="1"/>
  </cols>
  <sheetData>
    <row r="1" spans="1:5" x14ac:dyDescent="0.2">
      <c r="A1" t="s">
        <v>60</v>
      </c>
      <c r="B1" t="s">
        <v>1</v>
      </c>
      <c r="C1" t="s">
        <v>145</v>
      </c>
      <c r="D1" t="s">
        <v>152</v>
      </c>
      <c r="E1" t="s">
        <v>90</v>
      </c>
    </row>
    <row r="2" spans="1:5" x14ac:dyDescent="0.2">
      <c r="A2">
        <v>101</v>
      </c>
      <c r="B2" t="s">
        <v>4</v>
      </c>
      <c r="C2" t="s">
        <v>147</v>
      </c>
      <c r="D2" s="31" t="s">
        <v>153</v>
      </c>
      <c r="E2" s="7">
        <v>46054</v>
      </c>
    </row>
    <row r="3" spans="1:5" x14ac:dyDescent="0.2">
      <c r="A3">
        <v>102</v>
      </c>
      <c r="B3" t="s">
        <v>146</v>
      </c>
      <c r="C3" t="s">
        <v>148</v>
      </c>
      <c r="D3" s="31" t="s">
        <v>154</v>
      </c>
      <c r="E3" s="7">
        <v>46055</v>
      </c>
    </row>
    <row r="4" spans="1:5" x14ac:dyDescent="0.2">
      <c r="A4">
        <v>103</v>
      </c>
      <c r="B4" t="s">
        <v>158</v>
      </c>
      <c r="C4" t="s">
        <v>149</v>
      </c>
      <c r="D4" s="31" t="s">
        <v>155</v>
      </c>
      <c r="E4" s="7">
        <v>46056</v>
      </c>
    </row>
    <row r="5" spans="1:5" x14ac:dyDescent="0.2">
      <c r="A5">
        <v>104</v>
      </c>
      <c r="B5" t="s">
        <v>159</v>
      </c>
      <c r="C5" t="s">
        <v>150</v>
      </c>
      <c r="D5" s="31" t="s">
        <v>156</v>
      </c>
      <c r="E5" s="7">
        <v>46057</v>
      </c>
    </row>
    <row r="6" spans="1:5" x14ac:dyDescent="0.2">
      <c r="A6">
        <v>105</v>
      </c>
      <c r="B6" t="s">
        <v>160</v>
      </c>
      <c r="C6" t="s">
        <v>151</v>
      </c>
      <c r="D6" s="31" t="s">
        <v>157</v>
      </c>
      <c r="E6" s="7">
        <v>46058</v>
      </c>
    </row>
    <row r="8" spans="1:5" x14ac:dyDescent="0.2">
      <c r="A8" s="19" t="s">
        <v>161</v>
      </c>
      <c r="B8" s="21" t="str">
        <f>LEFT(C2,4)</f>
        <v>0300</v>
      </c>
    </row>
    <row r="9" spans="1:5" x14ac:dyDescent="0.2">
      <c r="A9" s="19" t="s">
        <v>162</v>
      </c>
      <c r="B9" s="21" t="str">
        <f>RIGHT(C2,4)</f>
        <v>3453</v>
      </c>
    </row>
    <row r="10" spans="1:5" x14ac:dyDescent="0.2">
      <c r="A10" s="19" t="s">
        <v>163</v>
      </c>
      <c r="B10" s="21" t="str">
        <f>MID(D2,1,FIND("@",D2)-1)</f>
        <v>komal</v>
      </c>
    </row>
    <row r="11" spans="1:5" x14ac:dyDescent="0.2">
      <c r="A11" s="19" t="s">
        <v>164</v>
      </c>
      <c r="B11" s="21" t="str">
        <f>TRIM(B5)</f>
        <v>Sohail</v>
      </c>
    </row>
    <row r="12" spans="1:5" x14ac:dyDescent="0.2">
      <c r="A12" s="19" t="s">
        <v>165</v>
      </c>
      <c r="B12" s="21" t="str">
        <f>MID(E2,4,2)</f>
        <v>54</v>
      </c>
    </row>
  </sheetData>
  <hyperlinks>
    <hyperlink ref="D2" r:id="rId1"/>
    <hyperlink ref="D3" r:id="rId2"/>
    <hyperlink ref="D4" r:id="rId3"/>
    <hyperlink ref="D5" r:id="rId4"/>
    <hyperlink ref="D6" r:id="rId5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FF"/>
  </sheetPr>
  <dimension ref="A1:H11"/>
  <sheetViews>
    <sheetView workbookViewId="0">
      <selection activeCell="D18" sqref="D18"/>
    </sheetView>
  </sheetViews>
  <sheetFormatPr defaultRowHeight="14.25" x14ac:dyDescent="0.2"/>
  <cols>
    <col min="1" max="1" width="13.25" bestFit="1" customWidth="1"/>
    <col min="5" max="5" width="13.25" bestFit="1" customWidth="1"/>
  </cols>
  <sheetData>
    <row r="1" spans="1:8" ht="15" x14ac:dyDescent="0.25">
      <c r="A1" s="1" t="s">
        <v>1</v>
      </c>
      <c r="B1" s="2" t="s">
        <v>60</v>
      </c>
      <c r="C1" s="1" t="s">
        <v>20</v>
      </c>
      <c r="E1" s="1" t="s">
        <v>178</v>
      </c>
      <c r="F1" s="2" t="s">
        <v>1</v>
      </c>
      <c r="G1" s="1" t="s">
        <v>27</v>
      </c>
      <c r="H1" s="1" t="s">
        <v>181</v>
      </c>
    </row>
    <row r="2" spans="1:8" x14ac:dyDescent="0.2">
      <c r="A2" s="3" t="s">
        <v>173</v>
      </c>
      <c r="B2" s="3">
        <v>101</v>
      </c>
      <c r="C2" s="3">
        <v>50000</v>
      </c>
      <c r="E2" s="3">
        <v>101</v>
      </c>
      <c r="F2" s="3" t="s">
        <v>35</v>
      </c>
      <c r="G2" s="3">
        <v>75000</v>
      </c>
      <c r="H2" s="3">
        <v>10</v>
      </c>
    </row>
    <row r="3" spans="1:8" x14ac:dyDescent="0.2">
      <c r="A3" s="3" t="s">
        <v>174</v>
      </c>
      <c r="B3" s="3">
        <v>102</v>
      </c>
      <c r="C3" s="3">
        <v>48000</v>
      </c>
      <c r="E3" s="3">
        <v>102</v>
      </c>
      <c r="F3" s="3" t="s">
        <v>38</v>
      </c>
      <c r="G3" s="3">
        <v>50000</v>
      </c>
      <c r="H3" s="3">
        <v>5</v>
      </c>
    </row>
    <row r="4" spans="1:8" x14ac:dyDescent="0.2">
      <c r="A4" s="3" t="s">
        <v>84</v>
      </c>
      <c r="B4" s="3">
        <v>103</v>
      </c>
      <c r="C4" s="3">
        <v>60000</v>
      </c>
      <c r="E4" s="3">
        <v>103</v>
      </c>
      <c r="F4" s="3" t="s">
        <v>131</v>
      </c>
      <c r="G4" s="3">
        <v>1500</v>
      </c>
      <c r="H4" s="3">
        <v>6</v>
      </c>
    </row>
    <row r="5" spans="1:8" x14ac:dyDescent="0.2">
      <c r="A5" s="3" t="s">
        <v>175</v>
      </c>
      <c r="B5" s="3">
        <v>104</v>
      </c>
      <c r="C5" s="3">
        <v>30000</v>
      </c>
      <c r="E5" s="3">
        <v>104</v>
      </c>
      <c r="F5" s="3" t="s">
        <v>179</v>
      </c>
      <c r="G5" s="3">
        <v>35000</v>
      </c>
      <c r="H5" s="3">
        <v>2</v>
      </c>
    </row>
    <row r="6" spans="1:8" x14ac:dyDescent="0.2">
      <c r="A6" s="3" t="s">
        <v>176</v>
      </c>
      <c r="B6" s="3">
        <v>105</v>
      </c>
      <c r="C6" s="3">
        <v>45000</v>
      </c>
      <c r="E6" s="3">
        <v>105</v>
      </c>
      <c r="F6" s="3" t="s">
        <v>180</v>
      </c>
      <c r="G6" s="3">
        <v>2200</v>
      </c>
      <c r="H6" s="3">
        <v>4</v>
      </c>
    </row>
    <row r="7" spans="1:8" x14ac:dyDescent="0.2">
      <c r="E7" s="41">
        <v>106</v>
      </c>
      <c r="F7" s="3"/>
      <c r="G7" s="41">
        <v>2466</v>
      </c>
      <c r="H7" s="41">
        <v>3</v>
      </c>
    </row>
    <row r="8" spans="1:8" x14ac:dyDescent="0.2">
      <c r="A8" s="19" t="s">
        <v>177</v>
      </c>
      <c r="B8" s="21" t="str">
        <f>INDEX(A2:A6,MATCH(101,B2:B6,0))</f>
        <v>Rahul</v>
      </c>
      <c r="E8" s="41">
        <v>107</v>
      </c>
      <c r="F8" s="3" t="s">
        <v>182</v>
      </c>
      <c r="G8" s="3">
        <v>2500</v>
      </c>
      <c r="H8" s="3">
        <v>3</v>
      </c>
    </row>
    <row r="9" spans="1:8" x14ac:dyDescent="0.2">
      <c r="A9" s="19" t="s">
        <v>177</v>
      </c>
      <c r="B9" s="21" t="str">
        <f>INDEX(A2:A6,MATCH(48000,C2:C6,0))</f>
        <v>Sagar</v>
      </c>
    </row>
    <row r="10" spans="1:8" x14ac:dyDescent="0.2">
      <c r="A10" s="19" t="s">
        <v>177</v>
      </c>
      <c r="B10" s="21">
        <f>INDEX(H2:H8,MATCH("Mouse",F2:F8,0))</f>
        <v>6</v>
      </c>
    </row>
    <row r="11" spans="1:8" x14ac:dyDescent="0.2">
      <c r="A11" s="19" t="s">
        <v>177</v>
      </c>
      <c r="B11" s="21" t="str">
        <f>IF(INDEX(F2:F8, MATCH(106, E2:E8, 0))=0,"Not Found",INDEX(F2:F8, MATCH(106, E2:E8, 0)))</f>
        <v>Not Found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K22"/>
  <sheetViews>
    <sheetView workbookViewId="0">
      <selection sqref="A1:D15"/>
    </sheetView>
  </sheetViews>
  <sheetFormatPr defaultRowHeight="14.25" x14ac:dyDescent="0.2"/>
  <cols>
    <col min="1" max="1" width="10.875" customWidth="1"/>
    <col min="3" max="3" width="12.5" customWidth="1"/>
    <col min="4" max="4" width="12.625" customWidth="1"/>
    <col min="5" max="5" width="3.625" customWidth="1"/>
    <col min="6" max="6" width="22.5" customWidth="1"/>
    <col min="7" max="7" width="7.25" customWidth="1"/>
    <col min="8" max="8" width="7" customWidth="1"/>
    <col min="9" max="9" width="11.375" bestFit="1" customWidth="1"/>
    <col min="10" max="10" width="22.5" bestFit="1" customWidth="1"/>
    <col min="11" max="11" width="11.375" bestFit="1" customWidth="1"/>
    <col min="12" max="12" width="22.5" bestFit="1" customWidth="1"/>
    <col min="13" max="13" width="6" customWidth="1"/>
  </cols>
  <sheetData>
    <row r="1" spans="1:11" ht="15" x14ac:dyDescent="0.25">
      <c r="A1" s="1" t="s">
        <v>107</v>
      </c>
      <c r="B1" s="2" t="s">
        <v>108</v>
      </c>
      <c r="C1" s="1" t="s">
        <v>129</v>
      </c>
      <c r="D1" s="1" t="s">
        <v>46</v>
      </c>
    </row>
    <row r="2" spans="1:11" x14ac:dyDescent="0.2">
      <c r="A2" s="3" t="s">
        <v>47</v>
      </c>
      <c r="B2" s="3" t="s">
        <v>35</v>
      </c>
      <c r="C2" s="3" t="s">
        <v>130</v>
      </c>
      <c r="D2" s="3">
        <v>75000</v>
      </c>
      <c r="F2" s="42" t="s">
        <v>189</v>
      </c>
      <c r="G2" s="42" t="s">
        <v>188</v>
      </c>
    </row>
    <row r="3" spans="1:11" x14ac:dyDescent="0.2">
      <c r="A3" s="3" t="s">
        <v>184</v>
      </c>
      <c r="B3" s="3" t="s">
        <v>38</v>
      </c>
      <c r="C3" s="3" t="s">
        <v>132</v>
      </c>
      <c r="D3" s="3">
        <v>500</v>
      </c>
      <c r="F3" s="42" t="s">
        <v>107</v>
      </c>
      <c r="G3" t="s">
        <v>179</v>
      </c>
      <c r="H3" t="s">
        <v>35</v>
      </c>
      <c r="I3" t="s">
        <v>38</v>
      </c>
      <c r="J3" t="s">
        <v>131</v>
      </c>
      <c r="K3" t="s">
        <v>186</v>
      </c>
    </row>
    <row r="4" spans="1:11" x14ac:dyDescent="0.2">
      <c r="A4" s="3" t="s">
        <v>183</v>
      </c>
      <c r="B4" s="3" t="s">
        <v>131</v>
      </c>
      <c r="C4" s="3" t="s">
        <v>130</v>
      </c>
      <c r="D4" s="3">
        <v>80000</v>
      </c>
      <c r="F4" s="43" t="s">
        <v>51</v>
      </c>
      <c r="G4" s="44">
        <v>25000</v>
      </c>
      <c r="H4" s="44">
        <v>80000</v>
      </c>
      <c r="I4" s="44">
        <v>58000</v>
      </c>
      <c r="J4" s="44"/>
      <c r="K4" s="44">
        <v>163000</v>
      </c>
    </row>
    <row r="5" spans="1:11" x14ac:dyDescent="0.2">
      <c r="A5" s="3" t="s">
        <v>48</v>
      </c>
      <c r="B5" s="3" t="s">
        <v>179</v>
      </c>
      <c r="C5" s="3" t="s">
        <v>132</v>
      </c>
      <c r="D5" s="3">
        <v>72000</v>
      </c>
      <c r="F5" s="43" t="s">
        <v>47</v>
      </c>
      <c r="G5" s="44"/>
      <c r="H5" s="44">
        <v>75000</v>
      </c>
      <c r="I5" s="44"/>
      <c r="J5" s="44">
        <v>2900</v>
      </c>
      <c r="K5" s="44">
        <v>77900</v>
      </c>
    </row>
    <row r="6" spans="1:11" x14ac:dyDescent="0.2">
      <c r="A6" s="3" t="s">
        <v>47</v>
      </c>
      <c r="B6" s="3" t="s">
        <v>131</v>
      </c>
      <c r="C6" s="3" t="s">
        <v>133</v>
      </c>
      <c r="D6" s="3">
        <v>600</v>
      </c>
      <c r="F6" s="43" t="s">
        <v>48</v>
      </c>
      <c r="G6" s="44">
        <v>72000</v>
      </c>
      <c r="H6" s="44">
        <v>85000</v>
      </c>
      <c r="I6" s="44"/>
      <c r="J6" s="44">
        <v>1500</v>
      </c>
      <c r="K6" s="44">
        <v>158500</v>
      </c>
    </row>
    <row r="7" spans="1:11" x14ac:dyDescent="0.2">
      <c r="A7" t="s">
        <v>51</v>
      </c>
      <c r="B7" t="s">
        <v>38</v>
      </c>
      <c r="C7" t="s">
        <v>173</v>
      </c>
      <c r="D7">
        <v>58000</v>
      </c>
      <c r="F7" s="43" t="s">
        <v>184</v>
      </c>
      <c r="G7" s="44">
        <v>45000</v>
      </c>
      <c r="H7" s="44"/>
      <c r="I7" s="44">
        <v>43500</v>
      </c>
      <c r="J7" s="44"/>
      <c r="K7" s="44">
        <v>88500</v>
      </c>
    </row>
    <row r="8" spans="1:11" x14ac:dyDescent="0.2">
      <c r="A8" s="3" t="s">
        <v>184</v>
      </c>
      <c r="B8" s="3" t="s">
        <v>179</v>
      </c>
      <c r="C8" s="3" t="s">
        <v>174</v>
      </c>
      <c r="D8" s="3">
        <v>45000</v>
      </c>
      <c r="F8" s="43" t="s">
        <v>183</v>
      </c>
      <c r="G8" s="44"/>
      <c r="H8" s="44">
        <v>78000</v>
      </c>
      <c r="I8" s="44"/>
      <c r="J8" s="44">
        <v>80000</v>
      </c>
      <c r="K8" s="44">
        <v>158000</v>
      </c>
    </row>
    <row r="9" spans="1:11" x14ac:dyDescent="0.2">
      <c r="A9" s="3" t="s">
        <v>51</v>
      </c>
      <c r="B9" s="3" t="s">
        <v>35</v>
      </c>
      <c r="C9" s="3" t="s">
        <v>84</v>
      </c>
      <c r="D9" s="3">
        <v>80000</v>
      </c>
      <c r="F9" s="43" t="s">
        <v>186</v>
      </c>
      <c r="G9" s="44">
        <v>142000</v>
      </c>
      <c r="H9" s="44">
        <v>318000</v>
      </c>
      <c r="I9" s="44">
        <v>101500</v>
      </c>
      <c r="J9" s="44">
        <v>84400</v>
      </c>
      <c r="K9" s="44">
        <v>645900</v>
      </c>
    </row>
    <row r="10" spans="1:11" x14ac:dyDescent="0.2">
      <c r="A10" s="3" t="s">
        <v>48</v>
      </c>
      <c r="B10" s="3" t="s">
        <v>131</v>
      </c>
      <c r="C10" s="3" t="s">
        <v>175</v>
      </c>
      <c r="D10" s="3">
        <v>1500</v>
      </c>
    </row>
    <row r="11" spans="1:11" x14ac:dyDescent="0.2">
      <c r="A11" s="3" t="s">
        <v>183</v>
      </c>
      <c r="B11" s="3" t="s">
        <v>35</v>
      </c>
      <c r="C11" s="3" t="s">
        <v>176</v>
      </c>
      <c r="D11" s="3">
        <v>78000</v>
      </c>
      <c r="F11" s="42" t="s">
        <v>107</v>
      </c>
      <c r="G11" t="s">
        <v>190</v>
      </c>
      <c r="I11" s="42" t="s">
        <v>107</v>
      </c>
      <c r="J11" t="s">
        <v>191</v>
      </c>
    </row>
    <row r="12" spans="1:11" x14ac:dyDescent="0.2">
      <c r="A12" s="3" t="s">
        <v>51</v>
      </c>
      <c r="B12" s="3" t="s">
        <v>179</v>
      </c>
      <c r="C12" s="3" t="s">
        <v>70</v>
      </c>
      <c r="D12" s="3">
        <v>25000</v>
      </c>
      <c r="F12" s="43" t="s">
        <v>51</v>
      </c>
      <c r="G12" s="44">
        <v>163000</v>
      </c>
      <c r="I12" s="43" t="s">
        <v>51</v>
      </c>
      <c r="J12" s="44">
        <v>3</v>
      </c>
    </row>
    <row r="13" spans="1:11" x14ac:dyDescent="0.2">
      <c r="A13" t="s">
        <v>47</v>
      </c>
      <c r="B13" t="s">
        <v>131</v>
      </c>
      <c r="C13" t="s">
        <v>71</v>
      </c>
      <c r="D13">
        <v>2300</v>
      </c>
      <c r="F13" s="43" t="s">
        <v>47</v>
      </c>
      <c r="G13" s="44">
        <v>77900</v>
      </c>
      <c r="I13" s="43" t="s">
        <v>47</v>
      </c>
      <c r="J13" s="44">
        <v>3</v>
      </c>
    </row>
    <row r="14" spans="1:11" x14ac:dyDescent="0.2">
      <c r="A14" s="3" t="s">
        <v>184</v>
      </c>
      <c r="B14" s="3" t="s">
        <v>38</v>
      </c>
      <c r="C14" s="3" t="s">
        <v>72</v>
      </c>
      <c r="D14" s="3">
        <v>43000</v>
      </c>
      <c r="F14" s="43" t="s">
        <v>48</v>
      </c>
      <c r="G14" s="44">
        <v>158500</v>
      </c>
      <c r="I14" s="43" t="s">
        <v>48</v>
      </c>
      <c r="J14" s="44">
        <v>3</v>
      </c>
    </row>
    <row r="15" spans="1:11" x14ac:dyDescent="0.2">
      <c r="A15" s="3" t="s">
        <v>48</v>
      </c>
      <c r="B15" s="3" t="s">
        <v>35</v>
      </c>
      <c r="C15" s="3" t="s">
        <v>73</v>
      </c>
      <c r="D15" s="3">
        <v>85000</v>
      </c>
      <c r="F15" s="43" t="s">
        <v>184</v>
      </c>
      <c r="G15" s="44">
        <v>88500</v>
      </c>
      <c r="I15" s="43" t="s">
        <v>184</v>
      </c>
      <c r="J15" s="44">
        <v>3</v>
      </c>
    </row>
    <row r="16" spans="1:11" x14ac:dyDescent="0.2">
      <c r="F16" s="43" t="s">
        <v>183</v>
      </c>
      <c r="G16" s="44">
        <v>158000</v>
      </c>
      <c r="I16" s="43" t="s">
        <v>183</v>
      </c>
      <c r="J16" s="44">
        <v>2</v>
      </c>
    </row>
    <row r="17" spans="6:10" x14ac:dyDescent="0.2">
      <c r="F17" s="43" t="s">
        <v>186</v>
      </c>
      <c r="G17" s="44">
        <v>645900</v>
      </c>
      <c r="I17" s="43" t="s">
        <v>186</v>
      </c>
      <c r="J17" s="44">
        <v>14</v>
      </c>
    </row>
    <row r="19" spans="6:10" x14ac:dyDescent="0.2">
      <c r="F19" s="42" t="s">
        <v>107</v>
      </c>
      <c r="G19" t="s">
        <v>192</v>
      </c>
    </row>
    <row r="21" spans="6:10" x14ac:dyDescent="0.2">
      <c r="F21" t="s">
        <v>191</v>
      </c>
    </row>
    <row r="22" spans="6:10" x14ac:dyDescent="0.2">
      <c r="F22" s="44">
        <v>14</v>
      </c>
    </row>
  </sheetData>
  <pageMargins left="0.7" right="0.7" top="0.75" bottom="0.75" header="0.3" footer="0.3"/>
  <pageSetup orientation="portrait"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9900"/>
  </sheetPr>
  <dimension ref="A1:J25"/>
  <sheetViews>
    <sheetView workbookViewId="0">
      <selection activeCell="G14" sqref="G14"/>
    </sheetView>
  </sheetViews>
  <sheetFormatPr defaultRowHeight="14.25" x14ac:dyDescent="0.2"/>
  <cols>
    <col min="1" max="1" width="9.5" bestFit="1" customWidth="1"/>
    <col min="5" max="5" width="11.125" bestFit="1" customWidth="1"/>
    <col min="7" max="7" width="14.25" customWidth="1"/>
    <col min="8" max="8" width="16.125" bestFit="1" customWidth="1"/>
    <col min="9" max="9" width="7.125" customWidth="1"/>
    <col min="10" max="10" width="11.375" customWidth="1"/>
    <col min="11" max="11" width="7.125" customWidth="1"/>
    <col min="12" max="12" width="11.375" bestFit="1" customWidth="1"/>
  </cols>
  <sheetData>
    <row r="1" spans="1:10" ht="15" x14ac:dyDescent="0.25">
      <c r="A1" s="1" t="s">
        <v>90</v>
      </c>
      <c r="B1" s="2" t="s">
        <v>107</v>
      </c>
      <c r="C1" s="1" t="s">
        <v>108</v>
      </c>
      <c r="D1" s="1" t="s">
        <v>129</v>
      </c>
      <c r="E1" s="1" t="s">
        <v>89</v>
      </c>
      <c r="G1" s="42" t="s">
        <v>194</v>
      </c>
      <c r="H1" s="42" t="s">
        <v>187</v>
      </c>
    </row>
    <row r="2" spans="1:10" x14ac:dyDescent="0.2">
      <c r="A2" s="3">
        <v>45296</v>
      </c>
      <c r="B2" s="3" t="s">
        <v>47</v>
      </c>
      <c r="C2" s="3" t="s">
        <v>35</v>
      </c>
      <c r="D2" s="3" t="s">
        <v>130</v>
      </c>
      <c r="E2" s="45">
        <v>75000</v>
      </c>
      <c r="G2" s="47" t="s">
        <v>185</v>
      </c>
      <c r="H2" t="s">
        <v>47</v>
      </c>
      <c r="I2" t="s">
        <v>48</v>
      </c>
      <c r="J2" t="s">
        <v>186</v>
      </c>
    </row>
    <row r="3" spans="1:10" x14ac:dyDescent="0.2">
      <c r="A3" s="3">
        <v>45301</v>
      </c>
      <c r="B3" s="3" t="s">
        <v>48</v>
      </c>
      <c r="C3" s="3" t="s">
        <v>131</v>
      </c>
      <c r="D3" s="3" t="s">
        <v>132</v>
      </c>
      <c r="E3" s="45">
        <v>500</v>
      </c>
      <c r="G3" s="43" t="s">
        <v>195</v>
      </c>
      <c r="H3" s="44">
        <v>75000</v>
      </c>
      <c r="I3" s="44">
        <v>500</v>
      </c>
      <c r="J3" s="44">
        <v>75500</v>
      </c>
    </row>
    <row r="4" spans="1:10" x14ac:dyDescent="0.2">
      <c r="A4" s="3">
        <v>45337</v>
      </c>
      <c r="B4" s="3" t="s">
        <v>47</v>
      </c>
      <c r="C4" s="3" t="s">
        <v>35</v>
      </c>
      <c r="D4" s="3" t="s">
        <v>133</v>
      </c>
      <c r="E4" s="45">
        <v>80000</v>
      </c>
      <c r="G4" s="43" t="s">
        <v>196</v>
      </c>
      <c r="H4" s="44">
        <v>80000</v>
      </c>
      <c r="I4" s="44">
        <v>1200</v>
      </c>
      <c r="J4" s="44">
        <v>81200</v>
      </c>
    </row>
    <row r="5" spans="1:10" x14ac:dyDescent="0.2">
      <c r="A5" s="3">
        <v>45342</v>
      </c>
      <c r="B5" s="3" t="s">
        <v>48</v>
      </c>
      <c r="C5" s="3" t="s">
        <v>134</v>
      </c>
      <c r="D5" s="3" t="s">
        <v>130</v>
      </c>
      <c r="E5" s="45">
        <v>1200</v>
      </c>
      <c r="G5" s="43" t="s">
        <v>197</v>
      </c>
      <c r="H5" s="44">
        <v>25000</v>
      </c>
      <c r="I5" s="44">
        <v>78000</v>
      </c>
      <c r="J5" s="44">
        <v>103000</v>
      </c>
    </row>
    <row r="6" spans="1:10" x14ac:dyDescent="0.2">
      <c r="A6" s="3">
        <v>45356</v>
      </c>
      <c r="B6" s="3" t="s">
        <v>47</v>
      </c>
      <c r="C6" s="3" t="s">
        <v>193</v>
      </c>
      <c r="D6" s="3" t="s">
        <v>132</v>
      </c>
      <c r="E6" s="45">
        <v>25000</v>
      </c>
      <c r="G6" s="43" t="s">
        <v>198</v>
      </c>
      <c r="H6" s="44">
        <v>700</v>
      </c>
      <c r="I6" s="44">
        <v>27000</v>
      </c>
      <c r="J6" s="44">
        <v>27700</v>
      </c>
    </row>
    <row r="7" spans="1:10" x14ac:dyDescent="0.2">
      <c r="A7">
        <v>45369</v>
      </c>
      <c r="B7" t="s">
        <v>48</v>
      </c>
      <c r="C7" t="s">
        <v>35</v>
      </c>
      <c r="D7" t="s">
        <v>133</v>
      </c>
      <c r="E7" s="46">
        <v>78000</v>
      </c>
      <c r="G7" s="43" t="s">
        <v>199</v>
      </c>
      <c r="H7" s="44">
        <v>1500</v>
      </c>
      <c r="I7" s="44">
        <v>82000</v>
      </c>
      <c r="J7" s="44">
        <v>83500</v>
      </c>
    </row>
    <row r="8" spans="1:10" x14ac:dyDescent="0.2">
      <c r="A8" s="3">
        <v>45389</v>
      </c>
      <c r="B8" s="3" t="s">
        <v>47</v>
      </c>
      <c r="C8" s="3" t="s">
        <v>131</v>
      </c>
      <c r="D8" s="3" t="s">
        <v>130</v>
      </c>
      <c r="E8" s="45">
        <v>700</v>
      </c>
      <c r="G8" s="43" t="s">
        <v>200</v>
      </c>
      <c r="H8" s="44">
        <v>79000</v>
      </c>
      <c r="I8" s="44">
        <v>650</v>
      </c>
      <c r="J8" s="44">
        <v>79650</v>
      </c>
    </row>
    <row r="9" spans="1:10" x14ac:dyDescent="0.2">
      <c r="A9" s="3">
        <v>45404</v>
      </c>
      <c r="B9" s="3" t="s">
        <v>48</v>
      </c>
      <c r="C9" s="3" t="s">
        <v>193</v>
      </c>
      <c r="D9" s="3" t="s">
        <v>132</v>
      </c>
      <c r="E9" s="45">
        <v>27000</v>
      </c>
      <c r="G9" s="43" t="s">
        <v>201</v>
      </c>
      <c r="H9" s="44">
        <v>26000</v>
      </c>
      <c r="I9" s="44">
        <v>1400</v>
      </c>
      <c r="J9" s="44">
        <v>27400</v>
      </c>
    </row>
    <row r="10" spans="1:10" x14ac:dyDescent="0.2">
      <c r="A10" s="3">
        <v>45424</v>
      </c>
      <c r="B10" s="3" t="s">
        <v>47</v>
      </c>
      <c r="C10" s="3" t="s">
        <v>134</v>
      </c>
      <c r="D10" s="3" t="s">
        <v>133</v>
      </c>
      <c r="E10" s="45">
        <v>1500</v>
      </c>
      <c r="G10" s="43" t="s">
        <v>202</v>
      </c>
      <c r="H10" s="44">
        <v>83000</v>
      </c>
      <c r="I10" s="44">
        <v>25500</v>
      </c>
      <c r="J10" s="44">
        <v>108500</v>
      </c>
    </row>
    <row r="11" spans="1:10" x14ac:dyDescent="0.2">
      <c r="A11" s="3">
        <v>45440</v>
      </c>
      <c r="B11" s="3" t="s">
        <v>48</v>
      </c>
      <c r="C11" s="3" t="s">
        <v>35</v>
      </c>
      <c r="D11" s="3" t="s">
        <v>130</v>
      </c>
      <c r="E11" s="45">
        <v>82000</v>
      </c>
      <c r="G11" s="43" t="s">
        <v>203</v>
      </c>
      <c r="H11" s="44">
        <v>600</v>
      </c>
      <c r="I11" s="44">
        <v>81000</v>
      </c>
      <c r="J11" s="44">
        <v>81600</v>
      </c>
    </row>
    <row r="12" spans="1:10" x14ac:dyDescent="0.2">
      <c r="A12" s="3">
        <v>45449</v>
      </c>
      <c r="B12" s="3" t="s">
        <v>47</v>
      </c>
      <c r="C12" s="3" t="s">
        <v>35</v>
      </c>
      <c r="D12" s="3" t="s">
        <v>132</v>
      </c>
      <c r="E12" s="45">
        <v>79000</v>
      </c>
      <c r="G12" s="43" t="s">
        <v>204</v>
      </c>
      <c r="H12" s="44">
        <v>1600</v>
      </c>
      <c r="I12" s="44">
        <v>750</v>
      </c>
      <c r="J12" s="44">
        <v>2350</v>
      </c>
    </row>
    <row r="13" spans="1:10" x14ac:dyDescent="0.2">
      <c r="A13">
        <v>45462</v>
      </c>
      <c r="B13" t="s">
        <v>48</v>
      </c>
      <c r="C13" t="s">
        <v>131</v>
      </c>
      <c r="D13" t="s">
        <v>133</v>
      </c>
      <c r="E13" s="46">
        <v>650</v>
      </c>
      <c r="G13" s="43" t="s">
        <v>205</v>
      </c>
      <c r="H13" s="44">
        <v>85000</v>
      </c>
      <c r="I13" s="44">
        <v>28000</v>
      </c>
      <c r="J13" s="44">
        <v>113000</v>
      </c>
    </row>
    <row r="14" spans="1:10" x14ac:dyDescent="0.2">
      <c r="A14" s="3">
        <v>45481</v>
      </c>
      <c r="B14" s="3" t="s">
        <v>47</v>
      </c>
      <c r="C14" s="3" t="s">
        <v>193</v>
      </c>
      <c r="D14" s="3" t="s">
        <v>130</v>
      </c>
      <c r="E14" s="45">
        <v>26000</v>
      </c>
      <c r="G14" s="43" t="s">
        <v>206</v>
      </c>
      <c r="H14" s="44">
        <v>30000</v>
      </c>
      <c r="I14" s="44">
        <v>90000</v>
      </c>
      <c r="J14" s="44">
        <v>120000</v>
      </c>
    </row>
    <row r="15" spans="1:10" x14ac:dyDescent="0.2">
      <c r="A15" s="3">
        <v>45494</v>
      </c>
      <c r="B15" s="3" t="s">
        <v>48</v>
      </c>
      <c r="C15" s="3" t="s">
        <v>134</v>
      </c>
      <c r="D15" s="3" t="s">
        <v>132</v>
      </c>
      <c r="E15" s="45">
        <v>1400</v>
      </c>
      <c r="G15" s="43" t="s">
        <v>186</v>
      </c>
      <c r="H15" s="44">
        <v>487400</v>
      </c>
      <c r="I15" s="44">
        <v>416000</v>
      </c>
      <c r="J15" s="44">
        <v>903400</v>
      </c>
    </row>
    <row r="16" spans="1:10" x14ac:dyDescent="0.2">
      <c r="A16">
        <v>45513</v>
      </c>
      <c r="B16" t="s">
        <v>47</v>
      </c>
      <c r="C16" t="s">
        <v>35</v>
      </c>
      <c r="D16" t="s">
        <v>133</v>
      </c>
      <c r="E16" s="46">
        <v>83000</v>
      </c>
    </row>
    <row r="17" spans="1:5" x14ac:dyDescent="0.2">
      <c r="A17" s="3">
        <v>45528</v>
      </c>
      <c r="B17" s="3" t="s">
        <v>48</v>
      </c>
      <c r="C17" s="3" t="s">
        <v>193</v>
      </c>
      <c r="D17" s="3" t="s">
        <v>130</v>
      </c>
      <c r="E17" s="45">
        <v>25500</v>
      </c>
    </row>
    <row r="18" spans="1:5" x14ac:dyDescent="0.2">
      <c r="A18" s="3">
        <v>45546</v>
      </c>
      <c r="B18" s="3" t="s">
        <v>47</v>
      </c>
      <c r="C18" s="3" t="s">
        <v>131</v>
      </c>
      <c r="D18" s="3" t="s">
        <v>132</v>
      </c>
      <c r="E18" s="45">
        <v>600</v>
      </c>
    </row>
    <row r="19" spans="1:5" x14ac:dyDescent="0.2">
      <c r="A19" s="3">
        <v>45561</v>
      </c>
      <c r="B19" s="3" t="s">
        <v>48</v>
      </c>
      <c r="C19" s="3" t="s">
        <v>35</v>
      </c>
      <c r="D19" s="3" t="s">
        <v>133</v>
      </c>
      <c r="E19" s="45">
        <v>81000</v>
      </c>
    </row>
    <row r="20" spans="1:5" x14ac:dyDescent="0.2">
      <c r="A20" s="34">
        <v>45568</v>
      </c>
      <c r="B20" s="3" t="s">
        <v>47</v>
      </c>
      <c r="C20" s="3" t="s">
        <v>134</v>
      </c>
      <c r="D20" s="3" t="s">
        <v>130</v>
      </c>
      <c r="E20" s="45">
        <v>1600</v>
      </c>
    </row>
    <row r="21" spans="1:5" x14ac:dyDescent="0.2">
      <c r="A21" s="34">
        <v>45582</v>
      </c>
      <c r="B21" s="3" t="s">
        <v>48</v>
      </c>
      <c r="C21" s="3" t="s">
        <v>131</v>
      </c>
      <c r="D21" s="3" t="s">
        <v>132</v>
      </c>
      <c r="E21" s="45">
        <v>750</v>
      </c>
    </row>
    <row r="22" spans="1:5" x14ac:dyDescent="0.2">
      <c r="A22" s="34">
        <v>45600</v>
      </c>
      <c r="B22" s="3" t="s">
        <v>47</v>
      </c>
      <c r="C22" s="3" t="s">
        <v>35</v>
      </c>
      <c r="D22" s="3" t="s">
        <v>133</v>
      </c>
      <c r="E22" s="45">
        <v>85000</v>
      </c>
    </row>
    <row r="23" spans="1:5" x14ac:dyDescent="0.2">
      <c r="A23" s="34">
        <v>45619</v>
      </c>
      <c r="B23" s="3" t="s">
        <v>48</v>
      </c>
      <c r="C23" s="3" t="s">
        <v>193</v>
      </c>
      <c r="D23" s="3" t="s">
        <v>130</v>
      </c>
      <c r="E23" s="45">
        <v>28000</v>
      </c>
    </row>
    <row r="24" spans="1:5" x14ac:dyDescent="0.2">
      <c r="A24" s="34">
        <v>45636</v>
      </c>
      <c r="B24" s="3" t="s">
        <v>47</v>
      </c>
      <c r="C24" s="3" t="s">
        <v>193</v>
      </c>
      <c r="D24" s="3" t="s">
        <v>132</v>
      </c>
      <c r="E24" s="45">
        <v>30000</v>
      </c>
    </row>
    <row r="25" spans="1:5" x14ac:dyDescent="0.2">
      <c r="A25" s="34">
        <v>45653</v>
      </c>
      <c r="B25" s="3" t="s">
        <v>48</v>
      </c>
      <c r="C25" s="3" t="s">
        <v>35</v>
      </c>
      <c r="D25" s="3" t="s">
        <v>130</v>
      </c>
      <c r="E25" s="45">
        <v>90000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66"/>
  </sheetPr>
  <dimension ref="A1:K15"/>
  <sheetViews>
    <sheetView workbookViewId="0">
      <selection activeCell="F18" sqref="F18"/>
    </sheetView>
  </sheetViews>
  <sheetFormatPr defaultRowHeight="14.25" x14ac:dyDescent="0.2"/>
  <cols>
    <col min="1" max="1" width="16.375" customWidth="1"/>
    <col min="2" max="2" width="7.875" bestFit="1" customWidth="1"/>
    <col min="3" max="3" width="7.125" bestFit="1" customWidth="1"/>
    <col min="5" max="5" width="9.125" bestFit="1" customWidth="1"/>
    <col min="6" max="6" width="9.5" bestFit="1" customWidth="1"/>
    <col min="7" max="7" width="8.125" bestFit="1" customWidth="1"/>
    <col min="8" max="8" width="13" bestFit="1" customWidth="1"/>
  </cols>
  <sheetData>
    <row r="1" spans="1:11" x14ac:dyDescent="0.2">
      <c r="A1" t="s">
        <v>8</v>
      </c>
      <c r="B1" t="s">
        <v>1</v>
      </c>
      <c r="C1" t="s">
        <v>80</v>
      </c>
      <c r="E1" t="s">
        <v>8</v>
      </c>
      <c r="F1" t="s">
        <v>89</v>
      </c>
      <c r="G1" t="s">
        <v>90</v>
      </c>
      <c r="H1" t="s">
        <v>94</v>
      </c>
    </row>
    <row r="2" spans="1:11" x14ac:dyDescent="0.2">
      <c r="A2" s="9">
        <v>101</v>
      </c>
      <c r="B2" s="9" t="s">
        <v>81</v>
      </c>
      <c r="C2" s="9" t="s">
        <v>46</v>
      </c>
      <c r="E2" s="9">
        <v>101</v>
      </c>
      <c r="F2" s="9">
        <v>35000</v>
      </c>
      <c r="G2" s="10">
        <v>45296</v>
      </c>
      <c r="H2" s="9" t="str">
        <f>VLOOKUP(Sales[[#This Row],[Emp ID]],Employee[#All],3,0)</f>
        <v>Sales</v>
      </c>
    </row>
    <row r="3" spans="1:11" x14ac:dyDescent="0.2">
      <c r="A3">
        <v>102</v>
      </c>
      <c r="B3" t="s">
        <v>82</v>
      </c>
      <c r="C3" t="s">
        <v>87</v>
      </c>
      <c r="E3">
        <v>102</v>
      </c>
      <c r="F3">
        <v>45000</v>
      </c>
      <c r="G3" s="7">
        <v>45299</v>
      </c>
      <c r="H3" t="str">
        <f>VLOOKUP(Sales[[#This Row],[Emp ID]],Employee[#All],3,0)</f>
        <v>HR</v>
      </c>
    </row>
    <row r="4" spans="1:11" x14ac:dyDescent="0.2">
      <c r="A4">
        <v>103</v>
      </c>
      <c r="B4" t="s">
        <v>83</v>
      </c>
      <c r="C4" t="s">
        <v>88</v>
      </c>
      <c r="E4" s="9">
        <v>105</v>
      </c>
      <c r="F4" s="9">
        <v>50000</v>
      </c>
      <c r="G4" s="10">
        <v>45303</v>
      </c>
      <c r="H4" s="9" t="str">
        <f>VLOOKUP(Sales[[#This Row],[Emp ID]],Employee[#All],3,0)</f>
        <v>Sales</v>
      </c>
    </row>
    <row r="5" spans="1:11" x14ac:dyDescent="0.2">
      <c r="A5">
        <v>104</v>
      </c>
      <c r="B5" t="s">
        <v>84</v>
      </c>
      <c r="C5" t="s">
        <v>87</v>
      </c>
      <c r="E5">
        <v>103</v>
      </c>
      <c r="F5">
        <v>28000</v>
      </c>
      <c r="G5" s="7">
        <v>45306</v>
      </c>
      <c r="H5" t="str">
        <f>VLOOKUP(Sales[[#This Row],[Emp ID]],Employee[#All],3,0)</f>
        <v>Admin</v>
      </c>
    </row>
    <row r="6" spans="1:11" x14ac:dyDescent="0.2">
      <c r="A6" s="9">
        <v>105</v>
      </c>
      <c r="B6" s="9" t="s">
        <v>85</v>
      </c>
      <c r="C6" s="9" t="s">
        <v>46</v>
      </c>
      <c r="E6" s="9">
        <v>105</v>
      </c>
      <c r="F6" s="9">
        <v>55000</v>
      </c>
      <c r="G6" s="10">
        <v>45310</v>
      </c>
      <c r="H6" s="9" t="str">
        <f>VLOOKUP(Sales[[#This Row],[Emp ID]],Employee[#All],3,0)</f>
        <v>Sales</v>
      </c>
    </row>
    <row r="7" spans="1:11" x14ac:dyDescent="0.2">
      <c r="A7">
        <v>106</v>
      </c>
      <c r="B7" t="s">
        <v>86</v>
      </c>
      <c r="C7" t="s">
        <v>88</v>
      </c>
      <c r="E7" s="9">
        <v>101</v>
      </c>
      <c r="F7" s="9">
        <v>47000</v>
      </c>
      <c r="G7" s="10">
        <v>45311</v>
      </c>
      <c r="H7" s="9" t="str">
        <f>VLOOKUP(Sales[[#This Row],[Emp ID]],Employee[#All],3,0)</f>
        <v>Sales</v>
      </c>
    </row>
    <row r="9" spans="1:11" ht="15.75" x14ac:dyDescent="0.25">
      <c r="A9" s="12" t="s">
        <v>91</v>
      </c>
    </row>
    <row r="10" spans="1:11" x14ac:dyDescent="0.2">
      <c r="A10" s="40" t="s">
        <v>93</v>
      </c>
      <c r="B10" s="40"/>
      <c r="C10" s="40"/>
      <c r="D10" s="40"/>
      <c r="E10" t="s">
        <v>140</v>
      </c>
    </row>
    <row r="11" spans="1:11" ht="15" x14ac:dyDescent="0.25">
      <c r="A11" s="14" t="s">
        <v>53</v>
      </c>
      <c r="B11" s="13">
        <f>SUMIF(Sales[Emp ID], "101",Sales[Amount])</f>
        <v>82000</v>
      </c>
    </row>
    <row r="12" spans="1:11" x14ac:dyDescent="0.2">
      <c r="A12" s="40" t="s">
        <v>92</v>
      </c>
      <c r="B12" s="40"/>
      <c r="C12" s="40"/>
      <c r="D12" s="40"/>
      <c r="E12" t="s">
        <v>141</v>
      </c>
    </row>
    <row r="13" spans="1:11" ht="14.25" customHeight="1" x14ac:dyDescent="0.25">
      <c r="A13" s="14" t="s">
        <v>95</v>
      </c>
      <c r="B13" s="13">
        <f>SUMIF(Sales[Sales(dept)],"Sales",Sales[Amount])</f>
        <v>187000</v>
      </c>
      <c r="D13" s="8"/>
      <c r="E13" s="8"/>
      <c r="F13" s="8"/>
      <c r="G13" s="8"/>
      <c r="H13" s="8"/>
      <c r="I13" s="8"/>
      <c r="J13" s="8"/>
      <c r="K13" s="8"/>
    </row>
    <row r="14" spans="1:11" x14ac:dyDescent="0.2">
      <c r="A14" s="39" t="s">
        <v>96</v>
      </c>
      <c r="B14" s="39"/>
      <c r="C14" s="39"/>
      <c r="D14" s="39"/>
      <c r="E14" t="s">
        <v>142</v>
      </c>
    </row>
    <row r="15" spans="1:11" ht="15" x14ac:dyDescent="0.25">
      <c r="A15" s="14" t="s">
        <v>69</v>
      </c>
      <c r="B15" s="15">
        <f>COUNTIF(Sales[Date],"&gt;=01-01-2024")-COUNTIF(Sales[Date],""&gt;31-1-2024)</f>
        <v>6</v>
      </c>
      <c r="C15" s="11"/>
      <c r="D15" s="11"/>
    </row>
  </sheetData>
  <mergeCells count="3">
    <mergeCell ref="A14:D14"/>
    <mergeCell ref="A10:D10"/>
    <mergeCell ref="A12:D12"/>
  </mergeCells>
  <conditionalFormatting sqref="F7:G7">
    <cfRule type="containsText" dxfId="2" priority="3" operator="containsText" text="105">
      <formula>NOT(ISERROR(SEARCH("105",F7)))</formula>
    </cfRule>
    <cfRule type="containsText" dxfId="1" priority="4" operator="containsText" text="101">
      <formula>NOT(ISERROR(SEARCH("101",F7)))</formula>
    </cfRule>
  </conditionalFormatting>
  <conditionalFormatting sqref="E1:G1 F7:G7">
    <cfRule type="containsText" dxfId="0" priority="1" operator="containsText" text="105">
      <formula>NOT(ISERROR(SEARCH("105",E1)))</formula>
    </cfRule>
  </conditionalFormatting>
  <pageMargins left="0.7" right="0.7" top="0.75" bottom="0.75" header="0.3" footer="0.3"/>
  <legacyDrawing r:id="rId1"/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66"/>
  </sheetPr>
  <dimension ref="A1:H10"/>
  <sheetViews>
    <sheetView workbookViewId="0">
      <selection activeCell="A8" sqref="A8:D8"/>
    </sheetView>
  </sheetViews>
  <sheetFormatPr defaultRowHeight="14.25" x14ac:dyDescent="0.2"/>
  <cols>
    <col min="1" max="1" width="10.125" bestFit="1" customWidth="1"/>
    <col min="2" max="2" width="10.75" bestFit="1" customWidth="1"/>
    <col min="5" max="5" width="15" customWidth="1"/>
    <col min="6" max="6" width="10.125" customWidth="1"/>
  </cols>
  <sheetData>
    <row r="1" spans="1:8" x14ac:dyDescent="0.2">
      <c r="A1" t="s">
        <v>26</v>
      </c>
      <c r="B1" t="s">
        <v>1</v>
      </c>
      <c r="C1" t="s">
        <v>27</v>
      </c>
      <c r="E1" t="s">
        <v>97</v>
      </c>
      <c r="F1" t="s">
        <v>98</v>
      </c>
      <c r="G1" t="s">
        <v>27</v>
      </c>
      <c r="H1" t="s">
        <v>99</v>
      </c>
    </row>
    <row r="2" spans="1:8" x14ac:dyDescent="0.2">
      <c r="A2" t="s">
        <v>29</v>
      </c>
      <c r="B2" t="s">
        <v>35</v>
      </c>
      <c r="C2">
        <v>75000</v>
      </c>
      <c r="E2" t="s">
        <v>29</v>
      </c>
      <c r="F2">
        <v>2</v>
      </c>
      <c r="G2">
        <f>VLOOKUP(A2,$A$1:$C$5,3,0)</f>
        <v>75000</v>
      </c>
      <c r="H2">
        <f>F2*G2</f>
        <v>150000</v>
      </c>
    </row>
    <row r="3" spans="1:8" x14ac:dyDescent="0.2">
      <c r="A3" t="s">
        <v>30</v>
      </c>
      <c r="B3" t="s">
        <v>38</v>
      </c>
      <c r="C3">
        <v>55000</v>
      </c>
      <c r="E3" t="s">
        <v>30</v>
      </c>
      <c r="F3">
        <v>3</v>
      </c>
      <c r="G3">
        <f t="shared" ref="G3:G5" si="0">VLOOKUP(A3,$A$1:$C$5,3,0)</f>
        <v>55000</v>
      </c>
      <c r="H3">
        <f t="shared" ref="H3:H5" si="1">F3*G3</f>
        <v>165000</v>
      </c>
    </row>
    <row r="4" spans="1:8" x14ac:dyDescent="0.2">
      <c r="A4" t="s">
        <v>31</v>
      </c>
      <c r="B4" t="s">
        <v>100</v>
      </c>
      <c r="C4">
        <v>15000</v>
      </c>
      <c r="E4" t="s">
        <v>31</v>
      </c>
      <c r="F4">
        <v>5</v>
      </c>
      <c r="G4">
        <f t="shared" si="0"/>
        <v>15000</v>
      </c>
      <c r="H4">
        <f t="shared" si="1"/>
        <v>75000</v>
      </c>
    </row>
    <row r="5" spans="1:8" x14ac:dyDescent="0.2">
      <c r="A5" t="s">
        <v>32</v>
      </c>
      <c r="B5" t="s">
        <v>101</v>
      </c>
      <c r="C5">
        <v>150000</v>
      </c>
      <c r="E5" t="s">
        <v>32</v>
      </c>
      <c r="F5">
        <v>1</v>
      </c>
      <c r="G5">
        <f t="shared" si="0"/>
        <v>150000</v>
      </c>
      <c r="H5">
        <f t="shared" si="1"/>
        <v>150000</v>
      </c>
    </row>
    <row r="6" spans="1:8" ht="15" x14ac:dyDescent="0.25">
      <c r="E6" s="14" t="s">
        <v>106</v>
      </c>
      <c r="F6" s="13">
        <f>SUM(F2:F5)</f>
        <v>11</v>
      </c>
      <c r="G6" s="13">
        <f>SUM(G2:G5)</f>
        <v>295000</v>
      </c>
      <c r="H6" s="13">
        <f>SUM(H2:H5)</f>
        <v>540000</v>
      </c>
    </row>
    <row r="7" spans="1:8" ht="15.75" x14ac:dyDescent="0.25">
      <c r="A7" s="12" t="s">
        <v>102</v>
      </c>
    </row>
    <row r="8" spans="1:8" x14ac:dyDescent="0.2">
      <c r="A8" s="36" t="s">
        <v>103</v>
      </c>
      <c r="B8" s="36"/>
      <c r="C8" s="36"/>
      <c r="D8" s="36"/>
    </row>
    <row r="9" spans="1:8" x14ac:dyDescent="0.2">
      <c r="A9" s="36" t="s">
        <v>104</v>
      </c>
      <c r="B9" s="36"/>
      <c r="C9" s="36"/>
      <c r="D9" s="36"/>
    </row>
    <row r="10" spans="1:8" x14ac:dyDescent="0.2">
      <c r="A10" s="36" t="s">
        <v>105</v>
      </c>
      <c r="B10" s="36"/>
      <c r="C10" s="36"/>
      <c r="D10" s="36"/>
    </row>
  </sheetData>
  <mergeCells count="3">
    <mergeCell ref="A8:D8"/>
    <mergeCell ref="A10:D10"/>
    <mergeCell ref="A9:D9"/>
  </mergeCells>
  <pageMargins left="0.7" right="0.7" top="0.75" bottom="0.75" header="0.3" footer="0.3"/>
  <tableParts count="2"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66"/>
  </sheetPr>
  <dimension ref="A1:M15"/>
  <sheetViews>
    <sheetView workbookViewId="0">
      <selection activeCell="I11" sqref="I11"/>
    </sheetView>
  </sheetViews>
  <sheetFormatPr defaultRowHeight="14.25" x14ac:dyDescent="0.2"/>
  <cols>
    <col min="1" max="1" width="9.25" bestFit="1" customWidth="1"/>
    <col min="2" max="2" width="9.125" customWidth="1"/>
    <col min="3" max="3" width="9.75" customWidth="1"/>
    <col min="4" max="4" width="10.125" customWidth="1"/>
    <col min="6" max="7" width="13.875" customWidth="1"/>
    <col min="9" max="9" width="12.375" customWidth="1"/>
    <col min="13" max="13" width="13.875" customWidth="1"/>
  </cols>
  <sheetData>
    <row r="1" spans="1:13" ht="15" x14ac:dyDescent="0.25">
      <c r="A1" s="32" t="s">
        <v>90</v>
      </c>
      <c r="B1" s="33" t="s">
        <v>107</v>
      </c>
      <c r="C1" s="32" t="s">
        <v>108</v>
      </c>
      <c r="D1" s="32" t="s">
        <v>98</v>
      </c>
      <c r="E1" s="32" t="s">
        <v>27</v>
      </c>
      <c r="F1" s="32" t="s">
        <v>129</v>
      </c>
      <c r="G1" s="35" t="s">
        <v>89</v>
      </c>
      <c r="I1" s="28" t="s">
        <v>1</v>
      </c>
      <c r="J1" s="28" t="s">
        <v>80</v>
      </c>
      <c r="K1" s="28" t="s">
        <v>46</v>
      </c>
      <c r="L1" s="28" t="s">
        <v>135</v>
      </c>
      <c r="M1" s="28" t="s">
        <v>136</v>
      </c>
    </row>
    <row r="2" spans="1:13" x14ac:dyDescent="0.2">
      <c r="A2" s="34">
        <v>45296</v>
      </c>
      <c r="B2" s="3" t="s">
        <v>47</v>
      </c>
      <c r="C2" s="3" t="s">
        <v>35</v>
      </c>
      <c r="D2" s="3">
        <v>2</v>
      </c>
      <c r="E2" s="3">
        <v>75000</v>
      </c>
      <c r="F2" s="3" t="s">
        <v>130</v>
      </c>
      <c r="G2" s="3">
        <f>D2*E2</f>
        <v>150000</v>
      </c>
      <c r="I2" s="30" t="s">
        <v>137</v>
      </c>
      <c r="J2" s="30" t="s">
        <v>46</v>
      </c>
      <c r="K2" s="30">
        <v>150000</v>
      </c>
      <c r="L2" s="30">
        <v>100000</v>
      </c>
      <c r="M2" s="29">
        <v>43831</v>
      </c>
    </row>
    <row r="3" spans="1:13" x14ac:dyDescent="0.2">
      <c r="A3" s="34">
        <v>45299</v>
      </c>
      <c r="B3" s="3" t="s">
        <v>48</v>
      </c>
      <c r="C3" s="3" t="s">
        <v>131</v>
      </c>
      <c r="D3" s="3">
        <v>10</v>
      </c>
      <c r="E3" s="3">
        <v>500</v>
      </c>
      <c r="F3" s="3" t="s">
        <v>132</v>
      </c>
      <c r="G3" s="3">
        <f t="shared" ref="G3:G6" si="0">D3*E3</f>
        <v>5000</v>
      </c>
      <c r="I3" s="30" t="s">
        <v>138</v>
      </c>
      <c r="J3" s="30" t="s">
        <v>87</v>
      </c>
      <c r="K3" s="30">
        <v>0</v>
      </c>
      <c r="L3" s="30">
        <v>0</v>
      </c>
      <c r="M3" s="29">
        <v>44727</v>
      </c>
    </row>
    <row r="4" spans="1:13" x14ac:dyDescent="0.2">
      <c r="A4" s="34">
        <v>45301</v>
      </c>
      <c r="B4" s="3" t="s">
        <v>47</v>
      </c>
      <c r="C4" s="3" t="s">
        <v>35</v>
      </c>
      <c r="D4" s="3">
        <v>1</v>
      </c>
      <c r="E4" s="3">
        <v>75000</v>
      </c>
      <c r="F4" s="3" t="s">
        <v>133</v>
      </c>
      <c r="G4" s="3">
        <f t="shared" si="0"/>
        <v>75000</v>
      </c>
      <c r="I4" s="30" t="s">
        <v>139</v>
      </c>
      <c r="J4" s="30" t="s">
        <v>46</v>
      </c>
      <c r="K4" s="30">
        <v>80000</v>
      </c>
      <c r="L4" s="30">
        <v>100000</v>
      </c>
      <c r="M4" s="29">
        <v>44995</v>
      </c>
    </row>
    <row r="5" spans="1:13" x14ac:dyDescent="0.2">
      <c r="A5" s="34">
        <v>45303</v>
      </c>
      <c r="B5" s="3" t="s">
        <v>47</v>
      </c>
      <c r="C5" s="3" t="s">
        <v>134</v>
      </c>
      <c r="D5" s="3">
        <v>5</v>
      </c>
      <c r="E5" s="3">
        <v>1200</v>
      </c>
      <c r="F5" s="3" t="s">
        <v>130</v>
      </c>
      <c r="G5" s="3">
        <f t="shared" si="0"/>
        <v>6000</v>
      </c>
    </row>
    <row r="6" spans="1:13" x14ac:dyDescent="0.2">
      <c r="A6" s="34">
        <v>45306</v>
      </c>
      <c r="B6" s="3" t="s">
        <v>48</v>
      </c>
      <c r="C6" s="3" t="s">
        <v>35</v>
      </c>
      <c r="D6" s="3">
        <v>3</v>
      </c>
      <c r="E6" s="3">
        <v>75000</v>
      </c>
      <c r="F6" s="3" t="s">
        <v>132</v>
      </c>
      <c r="G6" s="3">
        <f t="shared" si="0"/>
        <v>225000</v>
      </c>
    </row>
    <row r="8" spans="1:13" x14ac:dyDescent="0.2">
      <c r="A8" s="37" t="s">
        <v>166</v>
      </c>
      <c r="B8" s="38"/>
      <c r="C8" s="38"/>
      <c r="D8" s="38"/>
      <c r="I8" s="37" t="s">
        <v>170</v>
      </c>
      <c r="J8" s="38"/>
      <c r="K8" s="38"/>
      <c r="L8" s="38"/>
    </row>
    <row r="9" spans="1:13" x14ac:dyDescent="0.2">
      <c r="A9" s="19" t="s">
        <v>109</v>
      </c>
      <c r="B9" s="21">
        <f>SUMIFS('Q3'!E2:E6,'Q3'!B2:B6,"Karachi",'Q3'!C2:C6,"Laptop")</f>
        <v>150000</v>
      </c>
      <c r="I9" t="s">
        <v>171</v>
      </c>
      <c r="J9">
        <f ca="1">DATEDIF(M2,TODAY(),"Y")</f>
        <v>6</v>
      </c>
    </row>
    <row r="10" spans="1:13" x14ac:dyDescent="0.2">
      <c r="A10" s="37" t="s">
        <v>167</v>
      </c>
      <c r="B10" s="38"/>
      <c r="C10" s="38"/>
      <c r="D10" s="38"/>
      <c r="I10" t="s">
        <v>172</v>
      </c>
      <c r="J10">
        <f ca="1">IF(J9&lt;2,0,IF(J2="Sales",IF(K2&gt;L2,K2*0.1,0),5000))</f>
        <v>15000</v>
      </c>
    </row>
    <row r="11" spans="1:13" x14ac:dyDescent="0.2">
      <c r="A11" s="19" t="s">
        <v>69</v>
      </c>
      <c r="B11" s="21">
        <f>COUNTIF(F2:F6,"Ahmed")</f>
        <v>2</v>
      </c>
    </row>
    <row r="12" spans="1:13" x14ac:dyDescent="0.2">
      <c r="A12" s="37" t="s">
        <v>168</v>
      </c>
      <c r="B12" s="38"/>
      <c r="C12" s="38"/>
      <c r="D12" s="38"/>
    </row>
    <row r="13" spans="1:13" x14ac:dyDescent="0.2">
      <c r="A13" s="19" t="s">
        <v>109</v>
      </c>
      <c r="B13" s="21">
        <f>SUMIFS(G2:G6,A2:A6,"&gt;=01-01-24",A2:A6,"&lt;10-01-24")</f>
        <v>155000</v>
      </c>
    </row>
    <row r="14" spans="1:13" x14ac:dyDescent="0.2">
      <c r="A14" s="37" t="s">
        <v>169</v>
      </c>
      <c r="B14" s="38"/>
      <c r="C14" s="38"/>
      <c r="D14" s="38"/>
    </row>
    <row r="15" spans="1:13" x14ac:dyDescent="0.2">
      <c r="A15" s="19" t="s">
        <v>144</v>
      </c>
      <c r="B15" s="21" t="str">
        <f>IFERROR(VLOOKUP("PC",A1:G6,5,0),"Not Found")</f>
        <v>Not Found</v>
      </c>
    </row>
  </sheetData>
  <mergeCells count="5">
    <mergeCell ref="I8:L8"/>
    <mergeCell ref="A8:D8"/>
    <mergeCell ref="A10:D10"/>
    <mergeCell ref="A12:D12"/>
    <mergeCell ref="A14:D14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IF</vt:lpstr>
      <vt:lpstr>VLOOKUP</vt:lpstr>
      <vt:lpstr>SUMIF</vt:lpstr>
      <vt:lpstr>COUNTIF</vt:lpstr>
      <vt:lpstr>DATE FUNC</vt:lpstr>
      <vt:lpstr>SUMIFS</vt:lpstr>
      <vt:lpstr>COUNTIFS</vt:lpstr>
      <vt:lpstr>IFERROR</vt:lpstr>
      <vt:lpstr>TEXT FUNC</vt:lpstr>
      <vt:lpstr>INDEX-MATCH</vt:lpstr>
      <vt:lpstr>PIVOT TABLE (1)</vt:lpstr>
      <vt:lpstr>PIVOT TABLE (2)</vt:lpstr>
      <vt:lpstr>Q1</vt:lpstr>
      <vt:lpstr>Q2</vt:lpstr>
      <vt:lpstr>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2026-02-16T06:11:41Z</dcterms:created>
  <dcterms:modified xsi:type="dcterms:W3CDTF">2026-02-17T11:04:43Z</dcterms:modified>
</cp:coreProperties>
</file>