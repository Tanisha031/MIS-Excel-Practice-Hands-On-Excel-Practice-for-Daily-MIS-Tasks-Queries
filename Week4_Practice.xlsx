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INDEX-MATCH" sheetId="1" state="visible" r:id="rId3"/>
    <sheet name="2-PIVOT TABLE Guide" sheetId="2" state="visible" r:id="rId4"/>
    <sheet name="3-TEXTJOIN,UNIQUE,FILTER" sheetId="3" state="visible" r:id="rId5"/>
    <sheet name="4-FINAL CHALLEN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<sst xmlns="http://schemas.openxmlformats.org/spreadsheetml/2006/main" count="249" uniqueCount="126">
  <si>
    <t xml:space="preserve">WEEK 4 - INDEX-MATCH Practice (Better than VLOOKUP!)</t>
  </si>
  <si>
    <t xml:space="preserve">EMPLOYEE TABLE - Note: Emp ID is in Column B (middle) - VLOOKUP cannot look LEFT!</t>
  </si>
  <si>
    <t xml:space="preserve">INDEX-MATCH Results (Can look LEFT and RIGHT!)</t>
  </si>
  <si>
    <t xml:space="preserve">Name</t>
  </si>
  <si>
    <t xml:space="preserve">Emp ID</t>
  </si>
  <si>
    <t xml:space="preserve">Department</t>
  </si>
  <si>
    <t xml:space="preserve">Salary</t>
  </si>
  <si>
    <t xml:space="preserve">Question</t>
  </si>
  <si>
    <t xml:space="preserve">Result</t>
  </si>
  <si>
    <t xml:space="preserve">Formula</t>
  </si>
  <si>
    <t xml:space="preserve">Ahmed Khan</t>
  </si>
  <si>
    <t xml:space="preserve">Sales</t>
  </si>
  <si>
    <t xml:space="preserve">Emp ID 103 ka naam?</t>
  </si>
  <si>
    <t xml:space="preserve">Sara Ali</t>
  </si>
  <si>
    <t xml:space="preserve">HR</t>
  </si>
  <si>
    <t xml:space="preserve">Emp ID 106 ki dept?</t>
  </si>
  <si>
    <t xml:space="preserve">Zain Malik</t>
  </si>
  <si>
    <t xml:space="preserve">Salary 55000 wale ka naam?</t>
  </si>
  <si>
    <t xml:space="preserve">Fatima Raza</t>
  </si>
  <si>
    <t xml:space="preserve">IT</t>
  </si>
  <si>
    <t xml:space="preserve">Emp ID 107 ki salary?</t>
  </si>
  <si>
    <t xml:space="preserve">Usman Sheikh</t>
  </si>
  <si>
    <t xml:space="preserve">Hira Baig ka Emp ID?</t>
  </si>
  <si>
    <t xml:space="preserve">Bilal Ahmed</t>
  </si>
  <si>
    <t xml:space="preserve">IT dept ka pehla naam?</t>
  </si>
  <si>
    <t xml:space="preserve">Hira Baig</t>
  </si>
  <si>
    <t xml:space="preserve">Emp 999 (does not exist)?</t>
  </si>
  <si>
    <t xml:space="preserve">INDEX-MATCH Syntax: =INDEX(return_column, MATCH(lookup_value, lookup_column, 0))</t>
  </si>
  <si>
    <t xml:space="preserve">WEEK 4 - PIVOT TABLE Practice Data + Step-by-Step Guide</t>
  </si>
  <si>
    <t xml:space="preserve">SALES DATA - Select A4:E24 and create a Pivot Table from this!</t>
  </si>
  <si>
    <t xml:space="preserve">Month</t>
  </si>
  <si>
    <t xml:space="preserve">Region</t>
  </si>
  <si>
    <t xml:space="preserve">Product</t>
  </si>
  <si>
    <t xml:space="preserve">Salesperson</t>
  </si>
  <si>
    <t xml:space="preserve">Sales (Rs)</t>
  </si>
  <si>
    <t xml:space="preserve">January</t>
  </si>
  <si>
    <t xml:space="preserve">Karachi</t>
  </si>
  <si>
    <t xml:space="preserve">Laptop</t>
  </si>
  <si>
    <t xml:space="preserve">Ahmed</t>
  </si>
  <si>
    <t xml:space="preserve">Lahore</t>
  </si>
  <si>
    <t xml:space="preserve">Mouse</t>
  </si>
  <si>
    <t xml:space="preserve">Sara</t>
  </si>
  <si>
    <t xml:space="preserve">Zain</t>
  </si>
  <si>
    <t xml:space="preserve">February</t>
  </si>
  <si>
    <t xml:space="preserve">Keyboard</t>
  </si>
  <si>
    <t xml:space="preserve">Monitor</t>
  </si>
  <si>
    <t xml:space="preserve">Islamabad</t>
  </si>
  <si>
    <t xml:space="preserve">Kamran</t>
  </si>
  <si>
    <t xml:space="preserve">March</t>
  </si>
  <si>
    <t xml:space="preserve">HOW TO CREATE A PIVOT TABLE - Step by Step</t>
  </si>
  <si>
    <t xml:space="preserve">Step</t>
  </si>
  <si>
    <t xml:space="preserve">Action</t>
  </si>
  <si>
    <t xml:space="preserve">STEP 1</t>
  </si>
  <si>
    <t xml:space="preserve">Click any cell in your data (A4:E24)</t>
  </si>
  <si>
    <t xml:space="preserve">STEP 2</t>
  </si>
  <si>
    <t xml:space="preserve">Go to INSERT tab -&gt; Click PivotTable</t>
  </si>
  <si>
    <t xml:space="preserve">STEP 3</t>
  </si>
  <si>
    <t xml:space="preserve">Select New Worksheet -&gt; Click OK</t>
  </si>
  <si>
    <t xml:space="preserve">STEP 4</t>
  </si>
  <si>
    <t xml:space="preserve">In Field List (right side): Drag Region to ROWS</t>
  </si>
  <si>
    <t xml:space="preserve">STEP 5</t>
  </si>
  <si>
    <t xml:space="preserve">Drag Sales to VALUES -&gt; It automatically does SUM</t>
  </si>
  <si>
    <t xml:space="preserve">STEP 6</t>
  </si>
  <si>
    <t xml:space="preserve">Drag Month to COLUMNS for month-wise breakdown</t>
  </si>
  <si>
    <t xml:space="preserve">STEP 7</t>
  </si>
  <si>
    <t xml:space="preserve">Drag Product to FILTERS to filter by product</t>
  </si>
  <si>
    <t xml:space="preserve">STEP 8</t>
  </si>
  <si>
    <t xml:space="preserve">Right-click any number -&gt; Number Format -&gt; add commas</t>
  </si>
  <si>
    <t xml:space="preserve">STEP 9</t>
  </si>
  <si>
    <t xml:space="preserve">Click Refresh if you update source data</t>
  </si>
  <si>
    <t xml:space="preserve">STEP 10</t>
  </si>
  <si>
    <t xml:space="preserve">Try: Drag Salesperson to ROWS for salesperson report!</t>
  </si>
  <si>
    <t xml:space="preserve">Pivot Tables do NOT need formulas! Just drag and drop fields. It is the most powerful MIS tool!</t>
  </si>
  <si>
    <t xml:space="preserve">WEEK 4 - TEXTJOIN + UNIQUE + FILTER (Excel 365)</t>
  </si>
  <si>
    <t xml:space="preserve">These functions work in Excel 365 / Excel 2021+. If you have older Excel, they may not work.</t>
  </si>
  <si>
    <t xml:space="preserve">EMPLOYEE DATA - Used for all 3 functions below</t>
  </si>
  <si>
    <t xml:space="preserve">City</t>
  </si>
  <si>
    <t xml:space="preserve">Kamran Ali</t>
  </si>
  <si>
    <t xml:space="preserve">TEXTJOIN - Join multiple names into one cell</t>
  </si>
  <si>
    <t xml:space="preserve">All employees (comma separated):</t>
  </si>
  <si>
    <t xml:space="preserve">In YOUR Excel 365: =TEXTJOIN(", ",TRUE,A6:A13)</t>
  </si>
  <si>
    <t xml:space="preserve">Sales team only:</t>
  </si>
  <si>
    <t xml:space="preserve">In YOUR Excel 365: =TEXTJOIN(", ",TRUE,IF(B6:B13="Sales",A6:A13,""))</t>
  </si>
  <si>
    <t xml:space="preserve">Karachi employees:</t>
  </si>
  <si>
    <t xml:space="preserve">In YOUR Excel 365: =TEXTJOIN(", ",TRUE,IF(C6:C13="Karachi",A6:A13,""))</t>
  </si>
  <si>
    <t xml:space="preserve">TEXTJOIN(delimiter, ignore_empty, range)</t>
  </si>
  <si>
    <t xml:space="preserve">UNIQUE - Get unique values (no duplicates!)</t>
  </si>
  <si>
    <t xml:space="preserve">Unique Departments:</t>
  </si>
  <si>
    <t xml:space="preserve">Unique Cities:</t>
  </si>
  <si>
    <t xml:space="preserve">Formula:</t>
  </si>
  <si>
    <t xml:space="preserve">In YOUR Excel 365 type: =UNIQUE(B6:B13)</t>
  </si>
  <si>
    <t xml:space="preserve">In YOUR Excel 365 type: =UNIQUE(C6:C13)</t>
  </si>
  <si>
    <t xml:space="preserve">Results will spill downward automatically</t>
  </si>
  <si>
    <t xml:space="preserve">UNIQUE spills results automatically into multiple rows below the formula cell!</t>
  </si>
  <si>
    <t xml:space="preserve">FILTER - Show only matching rows automatically</t>
  </si>
  <si>
    <t xml:space="preserve">Filter: Karachi employees only -&gt;</t>
  </si>
  <si>
    <t xml:space="preserve">Formula used:</t>
  </si>
  <si>
    <t xml:space="preserve">In YOUR Excel 365 type: =FILTER(A6:D13,C6:C13="Karachi","No match")</t>
  </si>
  <si>
    <t xml:space="preserve">Type: =FILTER(A6:D13,C6:C13="Karachi","No match")</t>
  </si>
  <si>
    <t xml:space="preserve">Filter: Sales dept + Sales &gt; 100k -&gt;</t>
  </si>
  <si>
    <t xml:space="preserve">Type: =FILTER(A6:D13,(B6:B13="Sales")*(D6:D13&gt;100000),"No match")</t>
  </si>
  <si>
    <t xml:space="preserve">In YOUR Excel 365 type: =FILTER(A6:D13,(B6:B13="Sales")*(D6:D13&gt;100000),"No match")</t>
  </si>
  <si>
    <t xml:space="preserve">FILTER(data_range, condition, if_empty) - Use * for AND, + for OR</t>
  </si>
  <si>
    <t xml:space="preserve">WEEK 4 FINAL BOSS - Complete MIS Dashboard Challenge!</t>
  </si>
  <si>
    <t xml:space="preserve">Scenario: Use INDEX-MATCH + SUMIFS + IFERROR + TEXT to build a full HR + Sales report.</t>
  </si>
  <si>
    <t xml:space="preserve">EMPLOYEE MASTER - Emp ID is in column B (use INDEX-MATCH, not VLOOKUP!)</t>
  </si>
  <si>
    <t xml:space="preserve">Name (Raw)</t>
  </si>
  <si>
    <t xml:space="preserve">Clean Name (PROPER+TRIM)</t>
  </si>
  <si>
    <t xml:space="preserve">  ahmed KHAN  </t>
  </si>
  <si>
    <t xml:space="preserve">SARA ali</t>
  </si>
  <si>
    <t xml:space="preserve">zain MALIK</t>
  </si>
  <si>
    <t xml:space="preserve">  FATIMA raza  </t>
  </si>
  <si>
    <t xml:space="preserve">USMAN sheikh</t>
  </si>
  <si>
    <t xml:space="preserve">SALES TRANSACTIONS</t>
  </si>
  <si>
    <t xml:space="preserve">Target</t>
  </si>
  <si>
    <t xml:space="preserve">CHALLENGE ANSWERS - All functions combined!</t>
  </si>
  <si>
    <t xml:space="preserve">Answer</t>
  </si>
  <si>
    <t xml:space="preserve">Formula Used</t>
  </si>
  <si>
    <t xml:space="preserve">Emp ID 103 ka naam? (INDEX-MATCH)</t>
  </si>
  <si>
    <t xml:space="preserve">Emp ID 999 ka naam? (IFERROR)</t>
  </si>
  <si>
    <t xml:space="preserve">January total sales? (SUMIFS)</t>
  </si>
  <si>
    <t xml:space="preserve">Emp 101 February sales? (SUMIFS)</t>
  </si>
  <si>
    <t xml:space="preserve">Sales dept total salary? (SUMIF)</t>
  </si>
  <si>
    <t xml:space="preserve">Karachi Sales count? (COUNTIFS)</t>
  </si>
  <si>
    <t xml:space="preserve">Target hitters in January? (COUNTIFS)</t>
  </si>
  <si>
    <t xml:space="preserve">CONGRATULATIONS! You have completed all 4 weeks! You are now ready for MIS Executive job!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</si>
</sst>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1"/>
      <color rgb="FF37562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EBF3FB"/>
        <bgColor rgb="FFDEEAF1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7B2D8B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DEEAF1"/>
        <bgColor rgb="FFE2EFDA"/>
      </patternFill>
    </fill>
    <fill>
      <patternFill patternType="solid">
        <fgColor rgb="FF843C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D8B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5" min="5" style="1" width="4"/>
    <col collapsed="false" customWidth="true" hidden="false" outlineLevel="0" max="6" min="6" style="1" width="28"/>
    <col collapsed="false" customWidth="true" hidden="false" outlineLevel="0" max="7" min="7" style="1" width="22"/>
    <col collapsed="false" customWidth="true" hidden="false" outlineLevel="0" max="8" min="8" style="1" width="3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3"/>
      <c r="C3" s="3"/>
      <c r="D3" s="3"/>
      <c r="F3" s="3" t="s">
        <v>2</v>
      </c>
      <c r="G3" s="3"/>
      <c r="H3" s="3"/>
    </row>
    <row r="4" customFormat="false" ht="1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F4" s="5" t="s">
        <v>7</v>
      </c>
      <c r="G4" s="5" t="s">
        <v>8</v>
      </c>
      <c r="H4" s="5" t="s">
        <v>9</v>
      </c>
    </row>
    <row r="5" customFormat="false" ht="15" hidden="false" customHeight="true" outlineLevel="0" collapsed="false">
      <c r="A5" s="6" t="s">
        <v>10</v>
      </c>
      <c r="B5" s="6" t="n">
        <v>101</v>
      </c>
      <c r="C5" s="6" t="s">
        <v>11</v>
      </c>
      <c r="D5" s="7" t="n">
        <v>45000</v>
      </c>
      <c r="F5" s="8" t="s">
        <v>12</v>
      </c>
      <c r="G5" s="9" t="str">
        <f aca="false">IFERROR(INDEX(A5:A11,MATCH(103,B5:B11,0)),"Not Found")</f>
        <v>Zain Malik</v>
      </c>
      <c r="H5" s="10" t="str">
        <f aca="false">INDEX(A5:A11,MATCH(103,B5:B11,0))</f>
        <v>Zain Malik</v>
      </c>
    </row>
    <row r="6" customFormat="false" ht="15" hidden="false" customHeight="true" outlineLevel="0" collapsed="false">
      <c r="A6" s="11" t="s">
        <v>13</v>
      </c>
      <c r="B6" s="11" t="n">
        <v>102</v>
      </c>
      <c r="C6" s="11" t="s">
        <v>14</v>
      </c>
      <c r="D6" s="12" t="n">
        <v>38000</v>
      </c>
      <c r="F6" s="8" t="s">
        <v>15</v>
      </c>
      <c r="G6" s="9" t="str">
        <f aca="false">IFERROR(INDEX(C5:C11,MATCH(106,B5:B11,0)),"Not Found")</f>
        <v>HR</v>
      </c>
      <c r="H6" s="10" t="str">
        <f aca="false">INDEX(C5:C11,MATCH(106,B5:B11,0))</f>
        <v>HR</v>
      </c>
    </row>
    <row r="7" customFormat="false" ht="15" hidden="false" customHeight="true" outlineLevel="0" collapsed="false">
      <c r="A7" s="6" t="s">
        <v>16</v>
      </c>
      <c r="B7" s="6" t="n">
        <v>103</v>
      </c>
      <c r="C7" s="6" t="s">
        <v>11</v>
      </c>
      <c r="D7" s="7" t="n">
        <v>42000</v>
      </c>
      <c r="F7" s="8" t="s">
        <v>17</v>
      </c>
      <c r="G7" s="9" t="str">
        <f aca="false">IFERROR(INDEX(A5:A11,MATCH(55000,D5:D11,0)),"Not Found")</f>
        <v>Fatima Raza</v>
      </c>
      <c r="H7" s="10" t="str">
        <f aca="false">INDEX(A5:A11,MATCH(55000,D5:D11,0))</f>
        <v>Fatima Raza</v>
      </c>
    </row>
    <row r="8" customFormat="false" ht="15" hidden="false" customHeight="true" outlineLevel="0" collapsed="false">
      <c r="A8" s="11" t="s">
        <v>18</v>
      </c>
      <c r="B8" s="11" t="n">
        <v>104</v>
      </c>
      <c r="C8" s="11" t="s">
        <v>19</v>
      </c>
      <c r="D8" s="12" t="n">
        <v>55000</v>
      </c>
      <c r="F8" s="8" t="s">
        <v>20</v>
      </c>
      <c r="G8" s="9" t="n">
        <f aca="false">IFERROR(INDEX(D5:D11,MATCH(107,B5:B11,0)),"Not Found")</f>
        <v>60000</v>
      </c>
      <c r="H8" s="13" t="n">
        <f aca="false">INDEX(D5:D11,MATCH(107,B5:B11,0))</f>
        <v>60000</v>
      </c>
    </row>
    <row r="9" customFormat="false" ht="15" hidden="false" customHeight="true" outlineLevel="0" collapsed="false">
      <c r="A9" s="6" t="s">
        <v>21</v>
      </c>
      <c r="B9" s="6" t="n">
        <v>105</v>
      </c>
      <c r="C9" s="6" t="s">
        <v>11</v>
      </c>
      <c r="D9" s="7" t="n">
        <v>48000</v>
      </c>
      <c r="F9" s="8" t="s">
        <v>22</v>
      </c>
      <c r="G9" s="9" t="n">
        <f aca="false">IFERROR(INDEX(B5:B11,MATCH("Hira Baig",A5:A11,0)),"Not Found")</f>
        <v>107</v>
      </c>
      <c r="H9" s="10" t="n">
        <f aca="false">INDEX(B5:B11,MATCH("Hira Baig",A5:A11,0))</f>
        <v>107</v>
      </c>
    </row>
    <row r="10" customFormat="false" ht="15" hidden="false" customHeight="true" outlineLevel="0" collapsed="false">
      <c r="A10" s="11" t="s">
        <v>23</v>
      </c>
      <c r="B10" s="11" t="n">
        <v>106</v>
      </c>
      <c r="C10" s="11" t="s">
        <v>14</v>
      </c>
      <c r="D10" s="12" t="n">
        <v>36000</v>
      </c>
      <c r="F10" s="8" t="s">
        <v>24</v>
      </c>
      <c r="G10" s="9" t="str">
        <f aca="false">IFERROR(INDEX(A5:A11,MATCH("IT",C5:C11,0)),"Not Found")</f>
        <v>Fatima Raza</v>
      </c>
      <c r="H10" s="10" t="str">
        <f aca="false">INDEX(A5:A11,MATCH("IT",C5:C11,0))</f>
        <v>Fatima Raza</v>
      </c>
    </row>
    <row r="11" customFormat="false" ht="15" hidden="false" customHeight="true" outlineLevel="0" collapsed="false">
      <c r="A11" s="6" t="s">
        <v>25</v>
      </c>
      <c r="B11" s="6" t="n">
        <v>107</v>
      </c>
      <c r="C11" s="6" t="s">
        <v>19</v>
      </c>
      <c r="D11" s="7" t="n">
        <v>60000</v>
      </c>
      <c r="F11" s="8" t="s">
        <v>26</v>
      </c>
      <c r="G11" s="9" t="str">
        <f aca="false">IFERROR(INDEX(A5:A11,MATCH(999,B5:B11,0)),"Not Found")</f>
        <v>Not Found</v>
      </c>
      <c r="H11" s="10" t="str">
        <f aca="false">IFERROR(INDEX(A5:A11,MATCH(999,B5:B11,0)),"Not Found")</f>
        <v>Not Found</v>
      </c>
    </row>
    <row r="13" customFormat="false" ht="30" hidden="false" customHeight="true" outlineLevel="0" collapsed="false">
      <c r="F13" s="3" t="s">
        <v>27</v>
      </c>
      <c r="G13" s="3"/>
      <c r="H13" s="3"/>
    </row>
  </sheetData>
  <mergeCells count="4">
    <mergeCell ref="A1:H1"/>
    <mergeCell ref="A3:D3"/>
    <mergeCell ref="F3:H3"/>
    <mergeCell ref="F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5" min="3" style="1" width="16"/>
  </cols>
  <sheetData>
    <row r="1" customFormat="false" ht="31.5" hidden="false" customHeight="true" outlineLevel="0" collapsed="false">
      <c r="A1" s="14" t="s">
        <v>28</v>
      </c>
      <c r="B1" s="14"/>
      <c r="C1" s="14"/>
      <c r="D1" s="14"/>
      <c r="E1" s="14"/>
    </row>
    <row r="3" customFormat="false" ht="18" hidden="false" customHeight="true" outlineLevel="0" collapsed="false">
      <c r="A3" s="3" t="s">
        <v>29</v>
      </c>
      <c r="B3" s="3"/>
      <c r="C3" s="3"/>
      <c r="D3" s="3"/>
      <c r="E3" s="3"/>
    </row>
    <row r="4" customFormat="false" ht="15" hidden="false" customHeight="true" outlineLevel="0" collapsed="false">
      <c r="A4" s="15" t="s">
        <v>30</v>
      </c>
      <c r="B4" s="15" t="s">
        <v>31</v>
      </c>
      <c r="C4" s="15" t="s">
        <v>32</v>
      </c>
      <c r="D4" s="15" t="s">
        <v>33</v>
      </c>
      <c r="E4" s="15" t="s">
        <v>34</v>
      </c>
    </row>
    <row r="5" customFormat="false" ht="15" hidden="false" customHeight="true" outlineLevel="0" collapsed="false">
      <c r="A5" s="6" t="s">
        <v>35</v>
      </c>
      <c r="B5" s="6" t="s">
        <v>36</v>
      </c>
      <c r="C5" s="6" t="s">
        <v>37</v>
      </c>
      <c r="D5" s="6" t="s">
        <v>38</v>
      </c>
      <c r="E5" s="7" t="n">
        <v>75000</v>
      </c>
    </row>
    <row r="6" customFormat="false" ht="15" hidden="false" customHeight="true" outlineLevel="0" collapsed="false">
      <c r="A6" s="11" t="s">
        <v>35</v>
      </c>
      <c r="B6" s="11" t="s">
        <v>39</v>
      </c>
      <c r="C6" s="11" t="s">
        <v>40</v>
      </c>
      <c r="D6" s="11" t="s">
        <v>41</v>
      </c>
      <c r="E6" s="12" t="n">
        <v>500</v>
      </c>
    </row>
    <row r="7" customFormat="false" ht="15" hidden="false" customHeight="true" outlineLevel="0" collapsed="false">
      <c r="A7" s="6" t="s">
        <v>35</v>
      </c>
      <c r="B7" s="6" t="s">
        <v>36</v>
      </c>
      <c r="C7" s="6" t="s">
        <v>37</v>
      </c>
      <c r="D7" s="6" t="s">
        <v>42</v>
      </c>
      <c r="E7" s="7" t="n">
        <v>80000</v>
      </c>
    </row>
    <row r="8" customFormat="false" ht="15" hidden="false" customHeight="true" outlineLevel="0" collapsed="false">
      <c r="A8" s="11" t="s">
        <v>35</v>
      </c>
      <c r="B8" s="11" t="s">
        <v>39</v>
      </c>
      <c r="C8" s="11" t="s">
        <v>37</v>
      </c>
      <c r="D8" s="11" t="s">
        <v>41</v>
      </c>
      <c r="E8" s="12" t="n">
        <v>72000</v>
      </c>
    </row>
    <row r="9" customFormat="false" ht="15" hidden="false" customHeight="true" outlineLevel="0" collapsed="false">
      <c r="A9" s="6" t="s">
        <v>35</v>
      </c>
      <c r="B9" s="6" t="s">
        <v>36</v>
      </c>
      <c r="C9" s="6" t="s">
        <v>40</v>
      </c>
      <c r="D9" s="6" t="s">
        <v>38</v>
      </c>
      <c r="E9" s="7" t="n">
        <v>600</v>
      </c>
    </row>
    <row r="10" customFormat="false" ht="15" hidden="false" customHeight="true" outlineLevel="0" collapsed="false">
      <c r="A10" s="11" t="s">
        <v>43</v>
      </c>
      <c r="B10" s="11" t="s">
        <v>36</v>
      </c>
      <c r="C10" s="11" t="s">
        <v>37</v>
      </c>
      <c r="D10" s="11" t="s">
        <v>38</v>
      </c>
      <c r="E10" s="12" t="n">
        <v>85000</v>
      </c>
    </row>
    <row r="11" customFormat="false" ht="15" hidden="false" customHeight="true" outlineLevel="0" collapsed="false">
      <c r="A11" s="6" t="s">
        <v>43</v>
      </c>
      <c r="B11" s="6" t="s">
        <v>39</v>
      </c>
      <c r="C11" s="6" t="s">
        <v>44</v>
      </c>
      <c r="D11" s="6" t="s">
        <v>41</v>
      </c>
      <c r="E11" s="7" t="n">
        <v>1200</v>
      </c>
    </row>
    <row r="12" customFormat="false" ht="15" hidden="false" customHeight="true" outlineLevel="0" collapsed="false">
      <c r="A12" s="11" t="s">
        <v>43</v>
      </c>
      <c r="B12" s="11" t="s">
        <v>36</v>
      </c>
      <c r="C12" s="11" t="s">
        <v>45</v>
      </c>
      <c r="D12" s="11" t="s">
        <v>42</v>
      </c>
      <c r="E12" s="12" t="n">
        <v>25000</v>
      </c>
    </row>
    <row r="13" customFormat="false" ht="15" hidden="false" customHeight="true" outlineLevel="0" collapsed="false">
      <c r="A13" s="6" t="s">
        <v>43</v>
      </c>
      <c r="B13" s="6" t="s">
        <v>46</v>
      </c>
      <c r="C13" s="6" t="s">
        <v>37</v>
      </c>
      <c r="D13" s="6" t="s">
        <v>47</v>
      </c>
      <c r="E13" s="7" t="n">
        <v>68000</v>
      </c>
    </row>
    <row r="14" customFormat="false" ht="15" hidden="false" customHeight="true" outlineLevel="0" collapsed="false">
      <c r="A14" s="11" t="s">
        <v>43</v>
      </c>
      <c r="B14" s="11" t="s">
        <v>36</v>
      </c>
      <c r="C14" s="11" t="s">
        <v>37</v>
      </c>
      <c r="D14" s="11" t="s">
        <v>38</v>
      </c>
      <c r="E14" s="12" t="n">
        <v>92000</v>
      </c>
    </row>
    <row r="15" customFormat="false" ht="15" hidden="false" customHeight="true" outlineLevel="0" collapsed="false">
      <c r="A15" s="6" t="s">
        <v>48</v>
      </c>
      <c r="B15" s="6" t="s">
        <v>39</v>
      </c>
      <c r="C15" s="6" t="s">
        <v>37</v>
      </c>
      <c r="D15" s="6" t="s">
        <v>41</v>
      </c>
      <c r="E15" s="7" t="n">
        <v>78000</v>
      </c>
    </row>
    <row r="16" customFormat="false" ht="15" hidden="false" customHeight="true" outlineLevel="0" collapsed="false">
      <c r="A16" s="11" t="s">
        <v>48</v>
      </c>
      <c r="B16" s="11" t="s">
        <v>36</v>
      </c>
      <c r="C16" s="11" t="s">
        <v>45</v>
      </c>
      <c r="D16" s="11" t="s">
        <v>42</v>
      </c>
      <c r="E16" s="12" t="n">
        <v>24000</v>
      </c>
    </row>
    <row r="17" customFormat="false" ht="15" hidden="false" customHeight="true" outlineLevel="0" collapsed="false">
      <c r="A17" s="6" t="s">
        <v>48</v>
      </c>
      <c r="B17" s="6" t="s">
        <v>46</v>
      </c>
      <c r="C17" s="6" t="s">
        <v>44</v>
      </c>
      <c r="D17" s="6" t="s">
        <v>47</v>
      </c>
      <c r="E17" s="7" t="n">
        <v>1500</v>
      </c>
    </row>
    <row r="18" customFormat="false" ht="15" hidden="false" customHeight="true" outlineLevel="0" collapsed="false">
      <c r="A18" s="11" t="s">
        <v>48</v>
      </c>
      <c r="B18" s="11" t="s">
        <v>36</v>
      </c>
      <c r="C18" s="11" t="s">
        <v>37</v>
      </c>
      <c r="D18" s="11" t="s">
        <v>38</v>
      </c>
      <c r="E18" s="12" t="n">
        <v>88000</v>
      </c>
    </row>
    <row r="19" customFormat="false" ht="15" hidden="false" customHeight="true" outlineLevel="0" collapsed="false">
      <c r="A19" s="6" t="s">
        <v>48</v>
      </c>
      <c r="B19" s="6" t="s">
        <v>39</v>
      </c>
      <c r="C19" s="6" t="s">
        <v>40</v>
      </c>
      <c r="D19" s="6" t="s">
        <v>41</v>
      </c>
      <c r="E19" s="7" t="n">
        <v>800</v>
      </c>
    </row>
    <row r="20" customFormat="false" ht="15" hidden="false" customHeight="true" outlineLevel="0" collapsed="false">
      <c r="A20" s="11" t="s">
        <v>48</v>
      </c>
      <c r="B20" s="11" t="s">
        <v>36</v>
      </c>
      <c r="C20" s="11" t="s">
        <v>37</v>
      </c>
      <c r="D20" s="11" t="s">
        <v>42</v>
      </c>
      <c r="E20" s="12" t="n">
        <v>71000</v>
      </c>
    </row>
    <row r="21" customFormat="false" ht="15" hidden="false" customHeight="true" outlineLevel="0" collapsed="false">
      <c r="A21" s="6" t="s">
        <v>35</v>
      </c>
      <c r="B21" s="6" t="s">
        <v>46</v>
      </c>
      <c r="C21" s="6" t="s">
        <v>45</v>
      </c>
      <c r="D21" s="6" t="s">
        <v>47</v>
      </c>
      <c r="E21" s="7" t="n">
        <v>22000</v>
      </c>
    </row>
    <row r="22" customFormat="false" ht="15" hidden="false" customHeight="true" outlineLevel="0" collapsed="false">
      <c r="A22" s="11" t="s">
        <v>43</v>
      </c>
      <c r="B22" s="11" t="s">
        <v>39</v>
      </c>
      <c r="C22" s="11" t="s">
        <v>37</v>
      </c>
      <c r="D22" s="11" t="s">
        <v>41</v>
      </c>
      <c r="E22" s="12" t="n">
        <v>75000</v>
      </c>
    </row>
    <row r="23" customFormat="false" ht="15" hidden="false" customHeight="true" outlineLevel="0" collapsed="false">
      <c r="A23" s="6" t="s">
        <v>48</v>
      </c>
      <c r="B23" s="6" t="s">
        <v>46</v>
      </c>
      <c r="C23" s="6" t="s">
        <v>37</v>
      </c>
      <c r="D23" s="6" t="s">
        <v>47</v>
      </c>
      <c r="E23" s="7" t="n">
        <v>65000</v>
      </c>
    </row>
    <row r="24" customFormat="false" ht="15" hidden="false" customHeight="true" outlineLevel="0" collapsed="false">
      <c r="A24" s="11" t="s">
        <v>35</v>
      </c>
      <c r="B24" s="11" t="s">
        <v>36</v>
      </c>
      <c r="C24" s="11" t="s">
        <v>44</v>
      </c>
      <c r="D24" s="11" t="s">
        <v>38</v>
      </c>
      <c r="E24" s="12" t="n">
        <v>1200</v>
      </c>
    </row>
    <row r="26" customFormat="false" ht="18" hidden="false" customHeight="true" outlineLevel="0" collapsed="false">
      <c r="A26" s="3" t="s">
        <v>49</v>
      </c>
      <c r="B26" s="3"/>
      <c r="C26" s="3"/>
      <c r="D26" s="3"/>
      <c r="E26" s="3"/>
    </row>
    <row r="27" customFormat="false" ht="15" hidden="false" customHeight="true" outlineLevel="0" collapsed="false">
      <c r="A27" s="16" t="s">
        <v>50</v>
      </c>
      <c r="B27" s="16" t="s">
        <v>51</v>
      </c>
      <c r="C27" s="16"/>
      <c r="D27" s="16"/>
      <c r="E27" s="16"/>
    </row>
    <row r="28" customFormat="false" ht="21.75" hidden="false" customHeight="true" outlineLevel="0" collapsed="false">
      <c r="A28" s="17" t="s">
        <v>52</v>
      </c>
      <c r="B28" s="18" t="s">
        <v>53</v>
      </c>
      <c r="C28" s="18"/>
      <c r="D28" s="18"/>
      <c r="E28" s="18"/>
    </row>
    <row r="29" customFormat="false" ht="21.75" hidden="false" customHeight="true" outlineLevel="0" collapsed="false">
      <c r="A29" s="17" t="s">
        <v>54</v>
      </c>
      <c r="B29" s="19" t="s">
        <v>55</v>
      </c>
      <c r="C29" s="19"/>
      <c r="D29" s="19"/>
      <c r="E29" s="19"/>
    </row>
    <row r="30" customFormat="false" ht="21.75" hidden="false" customHeight="true" outlineLevel="0" collapsed="false">
      <c r="A30" s="17" t="s">
        <v>56</v>
      </c>
      <c r="B30" s="18" t="s">
        <v>57</v>
      </c>
      <c r="C30" s="18"/>
      <c r="D30" s="18"/>
      <c r="E30" s="18"/>
    </row>
    <row r="31" customFormat="false" ht="21.75" hidden="false" customHeight="true" outlineLevel="0" collapsed="false">
      <c r="A31" s="17" t="s">
        <v>58</v>
      </c>
      <c r="B31" s="19" t="s">
        <v>59</v>
      </c>
      <c r="C31" s="19"/>
      <c r="D31" s="19"/>
      <c r="E31" s="19"/>
    </row>
    <row r="32" customFormat="false" ht="21.75" hidden="false" customHeight="true" outlineLevel="0" collapsed="false">
      <c r="A32" s="17" t="s">
        <v>60</v>
      </c>
      <c r="B32" s="18" t="s">
        <v>61</v>
      </c>
      <c r="C32" s="18"/>
      <c r="D32" s="18"/>
      <c r="E32" s="18"/>
    </row>
    <row r="33" customFormat="false" ht="21.75" hidden="false" customHeight="true" outlineLevel="0" collapsed="false">
      <c r="A33" s="17" t="s">
        <v>62</v>
      </c>
      <c r="B33" s="19" t="s">
        <v>63</v>
      </c>
      <c r="C33" s="19"/>
      <c r="D33" s="19"/>
      <c r="E33" s="19"/>
    </row>
    <row r="34" customFormat="false" ht="21.75" hidden="false" customHeight="true" outlineLevel="0" collapsed="false">
      <c r="A34" s="17" t="s">
        <v>64</v>
      </c>
      <c r="B34" s="18" t="s">
        <v>65</v>
      </c>
      <c r="C34" s="18"/>
      <c r="D34" s="18"/>
      <c r="E34" s="18"/>
    </row>
    <row r="35" customFormat="false" ht="21.75" hidden="false" customHeight="true" outlineLevel="0" collapsed="false">
      <c r="A35" s="17" t="s">
        <v>66</v>
      </c>
      <c r="B35" s="19" t="s">
        <v>67</v>
      </c>
      <c r="C35" s="19"/>
      <c r="D35" s="19"/>
      <c r="E35" s="19"/>
    </row>
    <row r="36" customFormat="false" ht="21.75" hidden="false" customHeight="true" outlineLevel="0" collapsed="false">
      <c r="A36" s="17" t="s">
        <v>68</v>
      </c>
      <c r="B36" s="18" t="s">
        <v>69</v>
      </c>
      <c r="C36" s="18"/>
      <c r="D36" s="18"/>
      <c r="E36" s="18"/>
    </row>
    <row r="37" customFormat="false" ht="21.75" hidden="false" customHeight="true" outlineLevel="0" collapsed="false">
      <c r="A37" s="17" t="s">
        <v>70</v>
      </c>
      <c r="B37" s="19" t="s">
        <v>71</v>
      </c>
      <c r="C37" s="19"/>
      <c r="D37" s="19"/>
      <c r="E37" s="19"/>
    </row>
    <row r="39" customFormat="false" ht="24" hidden="false" customHeight="true" outlineLevel="0" collapsed="false">
      <c r="A39" s="3" t="s">
        <v>72</v>
      </c>
      <c r="B39" s="3"/>
      <c r="C39" s="3"/>
      <c r="D39" s="3"/>
      <c r="E39" s="3"/>
    </row>
  </sheetData>
  <mergeCells count="15">
    <mergeCell ref="A1:E1"/>
    <mergeCell ref="A3:E3"/>
    <mergeCell ref="A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2"/>
    <col collapsed="false" customWidth="true" hidden="false" outlineLevel="0" max="4" min="4" style="1" width="24"/>
    <col collapsed="false" customWidth="true" hidden="false" outlineLevel="0" max="5" min="5" style="1" width="28"/>
  </cols>
  <sheetData>
    <row r="1" customFormat="false" ht="31.5" hidden="false" customHeight="true" outlineLevel="0" collapsed="false">
      <c r="A1" s="20" t="s">
        <v>73</v>
      </c>
      <c r="B1" s="20"/>
      <c r="C1" s="20"/>
      <c r="D1" s="20"/>
      <c r="E1" s="20"/>
    </row>
    <row r="2" customFormat="false" ht="18" hidden="false" customHeight="true" outlineLevel="0" collapsed="false">
      <c r="A2" s="3" t="s">
        <v>74</v>
      </c>
      <c r="B2" s="3"/>
      <c r="C2" s="3"/>
      <c r="D2" s="3"/>
      <c r="E2" s="3"/>
    </row>
    <row r="4" customFormat="false" ht="15" hidden="false" customHeight="true" outlineLevel="0" collapsed="false">
      <c r="A4" s="3" t="s">
        <v>75</v>
      </c>
      <c r="B4" s="3"/>
      <c r="C4" s="3"/>
      <c r="D4" s="3"/>
      <c r="E4" s="3"/>
    </row>
    <row r="5" customFormat="false" ht="15" hidden="false" customHeight="true" outlineLevel="0" collapsed="false">
      <c r="A5" s="5" t="s">
        <v>3</v>
      </c>
      <c r="B5" s="5" t="s">
        <v>5</v>
      </c>
      <c r="C5" s="5" t="s">
        <v>76</v>
      </c>
      <c r="D5" s="5" t="s">
        <v>11</v>
      </c>
    </row>
    <row r="6" customFormat="false" ht="15" hidden="false" customHeight="true" outlineLevel="0" collapsed="false">
      <c r="A6" s="6" t="s">
        <v>10</v>
      </c>
      <c r="B6" s="6" t="s">
        <v>11</v>
      </c>
      <c r="C6" s="6" t="s">
        <v>36</v>
      </c>
      <c r="D6" s="7" t="n">
        <v>150000</v>
      </c>
    </row>
    <row r="7" customFormat="false" ht="15" hidden="false" customHeight="true" outlineLevel="0" collapsed="false">
      <c r="A7" s="11" t="s">
        <v>13</v>
      </c>
      <c r="B7" s="11" t="s">
        <v>14</v>
      </c>
      <c r="C7" s="11" t="s">
        <v>39</v>
      </c>
      <c r="D7" s="12" t="n">
        <v>0</v>
      </c>
    </row>
    <row r="8" customFormat="false" ht="15" hidden="false" customHeight="true" outlineLevel="0" collapsed="false">
      <c r="A8" s="6" t="s">
        <v>16</v>
      </c>
      <c r="B8" s="6" t="s">
        <v>11</v>
      </c>
      <c r="C8" s="6" t="s">
        <v>36</v>
      </c>
      <c r="D8" s="7" t="n">
        <v>80000</v>
      </c>
    </row>
    <row r="9" customFormat="false" ht="15" hidden="false" customHeight="true" outlineLevel="0" collapsed="false">
      <c r="A9" s="11" t="s">
        <v>18</v>
      </c>
      <c r="B9" s="11" t="s">
        <v>19</v>
      </c>
      <c r="C9" s="11" t="s">
        <v>46</v>
      </c>
      <c r="D9" s="12" t="n">
        <v>0</v>
      </c>
    </row>
    <row r="10" customFormat="false" ht="15" hidden="false" customHeight="true" outlineLevel="0" collapsed="false">
      <c r="A10" s="6" t="s">
        <v>21</v>
      </c>
      <c r="B10" s="6" t="s">
        <v>11</v>
      </c>
      <c r="C10" s="6" t="s">
        <v>39</v>
      </c>
      <c r="D10" s="7" t="n">
        <v>120000</v>
      </c>
    </row>
    <row r="11" customFormat="false" ht="15" hidden="false" customHeight="true" outlineLevel="0" collapsed="false">
      <c r="A11" s="11" t="s">
        <v>23</v>
      </c>
      <c r="B11" s="11" t="s">
        <v>11</v>
      </c>
      <c r="C11" s="11" t="s">
        <v>36</v>
      </c>
      <c r="D11" s="12" t="n">
        <v>110000</v>
      </c>
    </row>
    <row r="12" customFormat="false" ht="15" hidden="false" customHeight="true" outlineLevel="0" collapsed="false">
      <c r="A12" s="6" t="s">
        <v>25</v>
      </c>
      <c r="B12" s="6" t="s">
        <v>14</v>
      </c>
      <c r="C12" s="6" t="s">
        <v>36</v>
      </c>
      <c r="D12" s="7" t="n">
        <v>0</v>
      </c>
    </row>
    <row r="13" customFormat="false" ht="15" hidden="false" customHeight="true" outlineLevel="0" collapsed="false">
      <c r="A13" s="11" t="s">
        <v>77</v>
      </c>
      <c r="B13" s="11" t="s">
        <v>11</v>
      </c>
      <c r="C13" s="11" t="s">
        <v>46</v>
      </c>
      <c r="D13" s="12" t="n">
        <v>90000</v>
      </c>
    </row>
    <row r="15" customFormat="false" ht="15" hidden="false" customHeight="true" outlineLevel="0" collapsed="false">
      <c r="A15" s="3" t="s">
        <v>78</v>
      </c>
      <c r="B15" s="3"/>
      <c r="C15" s="3"/>
      <c r="D15" s="3"/>
      <c r="E15" s="3"/>
    </row>
    <row r="16" customFormat="false" ht="15" hidden="false" customHeight="true" outlineLevel="0" collapsed="false">
      <c r="A16" s="16" t="s">
        <v>9</v>
      </c>
      <c r="B16" s="16" t="s">
        <v>8</v>
      </c>
      <c r="C16" s="16"/>
      <c r="D16" s="16"/>
      <c r="E16" s="16"/>
    </row>
    <row r="17" customFormat="false" ht="24" hidden="false" customHeight="true" outlineLevel="0" collapsed="false">
      <c r="A17" s="17" t="s">
        <v>79</v>
      </c>
      <c r="B17" s="21" t="s">
        <v>80</v>
      </c>
      <c r="C17" s="21"/>
      <c r="D17" s="21"/>
      <c r="E17" s="21"/>
    </row>
    <row r="18" customFormat="false" ht="24" hidden="false" customHeight="true" outlineLevel="0" collapsed="false">
      <c r="A18" s="17" t="s">
        <v>81</v>
      </c>
      <c r="B18" s="21" t="s">
        <v>82</v>
      </c>
      <c r="C18" s="21"/>
      <c r="D18" s="21"/>
      <c r="E18" s="21"/>
    </row>
    <row r="19" customFormat="false" ht="24" hidden="false" customHeight="true" outlineLevel="0" collapsed="false">
      <c r="A19" s="17" t="s">
        <v>83</v>
      </c>
      <c r="B19" s="21" t="s">
        <v>84</v>
      </c>
      <c r="C19" s="21"/>
      <c r="D19" s="21"/>
      <c r="E19" s="21"/>
    </row>
    <row r="21" customFormat="false" ht="19.5" hidden="false" customHeight="true" outlineLevel="0" collapsed="false">
      <c r="A21" s="3" t="s">
        <v>85</v>
      </c>
      <c r="B21" s="3"/>
      <c r="C21" s="3"/>
      <c r="D21" s="3"/>
      <c r="E21" s="3"/>
    </row>
    <row r="23" customFormat="false" ht="15" hidden="false" customHeight="true" outlineLevel="0" collapsed="false">
      <c r="A23" s="3" t="s">
        <v>86</v>
      </c>
      <c r="B23" s="3"/>
      <c r="C23" s="3"/>
      <c r="D23" s="3"/>
      <c r="E23" s="3"/>
    </row>
    <row r="24" customFormat="false" ht="15" hidden="false" customHeight="true" outlineLevel="0" collapsed="false">
      <c r="A24" s="4" t="s">
        <v>87</v>
      </c>
      <c r="B24" s="4" t="s">
        <v>88</v>
      </c>
      <c r="C24" s="4" t="s">
        <v>89</v>
      </c>
      <c r="D24" s="4"/>
      <c r="E24" s="4"/>
    </row>
    <row r="25" customFormat="false" ht="15" hidden="false" customHeight="true" outlineLevel="0" collapsed="false">
      <c r="A25" s="22" t="s">
        <v>90</v>
      </c>
      <c r="B25" s="22" t="s">
        <v>91</v>
      </c>
      <c r="C25" s="23" t="s">
        <v>92</v>
      </c>
      <c r="D25" s="23"/>
      <c r="E25" s="23"/>
    </row>
    <row r="30" customFormat="false" ht="15" hidden="false" customHeight="true" outlineLevel="0" collapsed="false">
      <c r="A30" s="3" t="s">
        <v>93</v>
      </c>
      <c r="B30" s="3"/>
      <c r="C30" s="3"/>
      <c r="D30" s="3"/>
      <c r="E30" s="3"/>
    </row>
    <row r="32" customFormat="false" ht="15" hidden="false" customHeight="true" outlineLevel="0" collapsed="false">
      <c r="A32" s="3" t="s">
        <v>94</v>
      </c>
      <c r="B32" s="3"/>
      <c r="C32" s="3"/>
      <c r="D32" s="3"/>
      <c r="E32" s="3"/>
    </row>
    <row r="33" customFormat="false" ht="15" hidden="false" customHeight="true" outlineLevel="0" collapsed="false">
      <c r="A33" s="15" t="s">
        <v>95</v>
      </c>
      <c r="B33" s="15"/>
      <c r="C33" s="15" t="s">
        <v>96</v>
      </c>
      <c r="D33" s="15"/>
      <c r="E33" s="15"/>
    </row>
    <row r="34" customFormat="false" ht="24" hidden="false" customHeight="true" outlineLevel="0" collapsed="false">
      <c r="A34" s="22" t="s">
        <v>97</v>
      </c>
      <c r="B34" s="22"/>
      <c r="C34" s="23" t="s">
        <v>98</v>
      </c>
      <c r="D34" s="23"/>
      <c r="E34" s="23"/>
    </row>
    <row r="36" customFormat="false" ht="15" hidden="false" customHeight="true" outlineLevel="0" collapsed="false">
      <c r="A36" s="5" t="s">
        <v>99</v>
      </c>
      <c r="B36" s="5"/>
      <c r="C36" s="23" t="s">
        <v>100</v>
      </c>
      <c r="D36" s="23"/>
      <c r="E36" s="23"/>
    </row>
    <row r="37" customFormat="false" ht="24" hidden="false" customHeight="true" outlineLevel="0" collapsed="false">
      <c r="A37" s="22" t="s">
        <v>101</v>
      </c>
      <c r="B37" s="22"/>
    </row>
    <row r="39" customFormat="false" ht="19.5" hidden="false" customHeight="true" outlineLevel="0" collapsed="false">
      <c r="A39" s="3" t="s">
        <v>102</v>
      </c>
      <c r="B39" s="3"/>
      <c r="C39" s="3"/>
      <c r="D39" s="3"/>
      <c r="E39" s="3"/>
    </row>
  </sheetData>
  <mergeCells count="22">
    <mergeCell ref="A1:E1"/>
    <mergeCell ref="A2:E2"/>
    <mergeCell ref="A4:E4"/>
    <mergeCell ref="A15:E15"/>
    <mergeCell ref="B16:E16"/>
    <mergeCell ref="B17:E17"/>
    <mergeCell ref="B18:E18"/>
    <mergeCell ref="B19:E19"/>
    <mergeCell ref="A21:E21"/>
    <mergeCell ref="A23:E23"/>
    <mergeCell ref="C24:E24"/>
    <mergeCell ref="C25:E25"/>
    <mergeCell ref="A30:E30"/>
    <mergeCell ref="A32:E32"/>
    <mergeCell ref="A33:B33"/>
    <mergeCell ref="C33:E33"/>
    <mergeCell ref="A34:B34"/>
    <mergeCell ref="C34:E34"/>
    <mergeCell ref="A36:B36"/>
    <mergeCell ref="C36:E36"/>
    <mergeCell ref="A37:B37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31.5" hidden="false" customHeight="true" outlineLevel="0" collapsed="false">
      <c r="A1" s="24" t="s">
        <v>103</v>
      </c>
      <c r="B1" s="24"/>
      <c r="C1" s="24"/>
      <c r="D1" s="24"/>
      <c r="E1" s="24"/>
      <c r="F1" s="24"/>
      <c r="G1" s="24"/>
    </row>
    <row r="2" customFormat="false" ht="24" hidden="false" customHeight="true" outlineLevel="0" collapsed="false">
      <c r="A2" s="3" t="s">
        <v>104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3" t="s">
        <v>105</v>
      </c>
      <c r="B4" s="3"/>
      <c r="C4" s="3"/>
      <c r="D4" s="3"/>
      <c r="E4" s="3"/>
      <c r="F4" s="3"/>
      <c r="G4" s="3"/>
    </row>
    <row r="5" customFormat="false" ht="26.25" hidden="false" customHeight="true" outlineLevel="0" collapsed="false">
      <c r="A5" s="25" t="s">
        <v>106</v>
      </c>
      <c r="B5" s="25" t="s">
        <v>4</v>
      </c>
      <c r="C5" s="25" t="s">
        <v>5</v>
      </c>
      <c r="D5" s="25" t="s">
        <v>76</v>
      </c>
      <c r="E5" s="25" t="s">
        <v>6</v>
      </c>
      <c r="F5" s="16" t="s">
        <v>107</v>
      </c>
      <c r="G5" s="16" t="s">
        <v>9</v>
      </c>
    </row>
    <row r="6" customFormat="false" ht="15" hidden="false" customHeight="true" outlineLevel="0" collapsed="false">
      <c r="A6" s="6" t="s">
        <v>108</v>
      </c>
      <c r="B6" s="6" t="n">
        <v>101</v>
      </c>
      <c r="C6" s="6" t="s">
        <v>11</v>
      </c>
      <c r="D6" s="6" t="s">
        <v>36</v>
      </c>
      <c r="E6" s="7" t="n">
        <v>45000</v>
      </c>
      <c r="F6" s="26" t="str">
        <f aca="false">PROPER(TRIM(A6))</f>
        <v>Ahmed Khan</v>
      </c>
      <c r="G6" s="10" t="str">
        <f aca="false">PROPER(TRIM(A6))</f>
        <v>Ahmed Khan</v>
      </c>
    </row>
    <row r="7" customFormat="false" ht="15" hidden="false" customHeight="true" outlineLevel="0" collapsed="false">
      <c r="A7" s="11" t="s">
        <v>109</v>
      </c>
      <c r="B7" s="11" t="n">
        <v>102</v>
      </c>
      <c r="C7" s="11" t="s">
        <v>14</v>
      </c>
      <c r="D7" s="11" t="s">
        <v>39</v>
      </c>
      <c r="E7" s="12" t="n">
        <v>38000</v>
      </c>
      <c r="F7" s="26" t="str">
        <f aca="false">PROPER(TRIM(A7))</f>
        <v>Sara Ali</v>
      </c>
      <c r="G7" s="10" t="str">
        <f aca="false">PROPER(TRIM(A7))</f>
        <v>Sara Ali</v>
      </c>
    </row>
    <row r="8" customFormat="false" ht="15" hidden="false" customHeight="true" outlineLevel="0" collapsed="false">
      <c r="A8" s="6" t="s">
        <v>110</v>
      </c>
      <c r="B8" s="6" t="n">
        <v>103</v>
      </c>
      <c r="C8" s="6" t="s">
        <v>11</v>
      </c>
      <c r="D8" s="6" t="s">
        <v>36</v>
      </c>
      <c r="E8" s="7" t="n">
        <v>42000</v>
      </c>
      <c r="F8" s="26" t="str">
        <f aca="false">PROPER(TRIM(A8))</f>
        <v>Zain Malik</v>
      </c>
      <c r="G8" s="10" t="str">
        <f aca="false">PROPER(TRIM(A8))</f>
        <v>Zain Malik</v>
      </c>
    </row>
    <row r="9" customFormat="false" ht="15" hidden="false" customHeight="true" outlineLevel="0" collapsed="false">
      <c r="A9" s="11" t="s">
        <v>111</v>
      </c>
      <c r="B9" s="11" t="n">
        <v>104</v>
      </c>
      <c r="C9" s="11" t="s">
        <v>19</v>
      </c>
      <c r="D9" s="11" t="s">
        <v>46</v>
      </c>
      <c r="E9" s="12" t="n">
        <v>55000</v>
      </c>
      <c r="F9" s="26" t="str">
        <f aca="false">PROPER(TRIM(A9))</f>
        <v>Fatima Raza</v>
      </c>
      <c r="G9" s="10" t="str">
        <f aca="false">PROPER(TRIM(A9))</f>
        <v>Fatima Raza</v>
      </c>
    </row>
    <row r="10" customFormat="false" ht="15" hidden="false" customHeight="true" outlineLevel="0" collapsed="false">
      <c r="A10" s="6" t="s">
        <v>112</v>
      </c>
      <c r="B10" s="6" t="n">
        <v>105</v>
      </c>
      <c r="C10" s="6" t="s">
        <v>11</v>
      </c>
      <c r="D10" s="6" t="s">
        <v>39</v>
      </c>
      <c r="E10" s="7" t="n">
        <v>48000</v>
      </c>
      <c r="F10" s="26" t="str">
        <f aca="false">PROPER(TRIM(A10))</f>
        <v>Usman Sheikh</v>
      </c>
      <c r="G10" s="10" t="str">
        <f aca="false">PROPER(TRIM(A10))</f>
        <v>Usman Sheikh</v>
      </c>
    </row>
    <row r="12" customFormat="false" ht="15" hidden="false" customHeight="true" outlineLevel="0" collapsed="false">
      <c r="A12" s="3" t="s">
        <v>113</v>
      </c>
      <c r="B12" s="3"/>
      <c r="C12" s="3"/>
      <c r="D12" s="3"/>
      <c r="E12" s="3"/>
      <c r="F12" s="3"/>
      <c r="G12" s="3"/>
    </row>
    <row r="13" customFormat="false" ht="15" hidden="false" customHeight="true" outlineLevel="0" collapsed="false">
      <c r="A13" s="4" t="s">
        <v>4</v>
      </c>
      <c r="B13" s="4" t="s">
        <v>30</v>
      </c>
      <c r="C13" s="4" t="s">
        <v>11</v>
      </c>
      <c r="D13" s="4" t="s">
        <v>114</v>
      </c>
    </row>
    <row r="14" customFormat="false" ht="15" hidden="false" customHeight="true" outlineLevel="0" collapsed="false">
      <c r="A14" s="6" t="n">
        <v>101</v>
      </c>
      <c r="B14" s="6" t="s">
        <v>35</v>
      </c>
      <c r="C14" s="7" t="n">
        <v>150000</v>
      </c>
      <c r="D14" s="6" t="n">
        <v>100000</v>
      </c>
    </row>
    <row r="15" customFormat="false" ht="15" hidden="false" customHeight="true" outlineLevel="0" collapsed="false">
      <c r="A15" s="11" t="n">
        <v>103</v>
      </c>
      <c r="B15" s="11" t="s">
        <v>35</v>
      </c>
      <c r="C15" s="12" t="n">
        <v>80000</v>
      </c>
      <c r="D15" s="11" t="n">
        <v>100000</v>
      </c>
    </row>
    <row r="16" customFormat="false" ht="15" hidden="false" customHeight="true" outlineLevel="0" collapsed="false">
      <c r="A16" s="6" t="n">
        <v>105</v>
      </c>
      <c r="B16" s="6" t="s">
        <v>35</v>
      </c>
      <c r="C16" s="7" t="n">
        <v>120000</v>
      </c>
      <c r="D16" s="6" t="n">
        <v>100000</v>
      </c>
    </row>
    <row r="17" customFormat="false" ht="15" hidden="false" customHeight="true" outlineLevel="0" collapsed="false">
      <c r="A17" s="11" t="n">
        <v>101</v>
      </c>
      <c r="B17" s="11" t="s">
        <v>43</v>
      </c>
      <c r="C17" s="12" t="n">
        <v>130000</v>
      </c>
      <c r="D17" s="11" t="n">
        <v>100000</v>
      </c>
    </row>
    <row r="18" customFormat="false" ht="15" hidden="false" customHeight="true" outlineLevel="0" collapsed="false">
      <c r="A18" s="6" t="n">
        <v>103</v>
      </c>
      <c r="B18" s="6" t="s">
        <v>43</v>
      </c>
      <c r="C18" s="7" t="n">
        <v>110000</v>
      </c>
      <c r="D18" s="6" t="n">
        <v>100000</v>
      </c>
    </row>
    <row r="19" customFormat="false" ht="15" hidden="false" customHeight="true" outlineLevel="0" collapsed="false">
      <c r="A19" s="11" t="n">
        <v>105</v>
      </c>
      <c r="B19" s="11" t="s">
        <v>43</v>
      </c>
      <c r="C19" s="12" t="n">
        <v>95000</v>
      </c>
      <c r="D19" s="11" t="n">
        <v>100000</v>
      </c>
    </row>
    <row r="21" customFormat="false" ht="15" hidden="false" customHeight="true" outlineLevel="0" collapsed="false">
      <c r="A21" s="3" t="s">
        <v>115</v>
      </c>
      <c r="B21" s="3"/>
      <c r="C21" s="3"/>
      <c r="D21" s="3"/>
      <c r="E21" s="3"/>
      <c r="F21" s="3"/>
      <c r="G21" s="3"/>
    </row>
    <row r="22" customFormat="false" ht="15" hidden="false" customHeight="true" outlineLevel="0" collapsed="false">
      <c r="A22" s="25" t="s">
        <v>7</v>
      </c>
      <c r="B22" s="25" t="s">
        <v>116</v>
      </c>
      <c r="C22" s="25"/>
      <c r="D22" s="25" t="s">
        <v>117</v>
      </c>
      <c r="E22" s="25"/>
      <c r="F22" s="25"/>
      <c r="G22" s="25"/>
    </row>
    <row r="23" customFormat="false" ht="21.75" hidden="false" customHeight="true" outlineLevel="0" collapsed="false">
      <c r="A23" s="8" t="s">
        <v>118</v>
      </c>
      <c r="B23" s="9" t="str">
        <f aca="false">IFERROR(INDEX(F6:F10,MATCH(103,B6:B10,0)),"Not Found")</f>
        <v>Zain Malik</v>
      </c>
      <c r="C23" s="9"/>
      <c r="D23" s="3" t="str">
        <f aca="false">INDEX(F6:F10, MATCH(103,B6:B10,0))</f>
        <v>Zain Malik</v>
      </c>
      <c r="E23" s="3"/>
      <c r="F23" s="3"/>
      <c r="G23" s="3"/>
    </row>
    <row r="24" customFormat="false" ht="21.75" hidden="false" customHeight="true" outlineLevel="0" collapsed="false">
      <c r="A24" s="8" t="s">
        <v>119</v>
      </c>
      <c r="B24" s="9" t="str">
        <f aca="false">IFERROR(INDEX(F6:F10,MATCH(999,B6:B10,0)),"Not Found")</f>
        <v>Not Found</v>
      </c>
      <c r="C24" s="9"/>
      <c r="D24" s="3" t="n">
        <f aca="false">COUNTIFS(B14:B19,"January",C14:C19,"&gt;100000")</f>
        <v>2</v>
      </c>
      <c r="E24" s="3"/>
      <c r="F24" s="3"/>
      <c r="G24" s="3"/>
    </row>
    <row r="25" customFormat="false" ht="21.75" hidden="false" customHeight="true" outlineLevel="0" collapsed="false">
      <c r="A25" s="8" t="s">
        <v>120</v>
      </c>
      <c r="B25" s="9" t="n">
        <f aca="false">SUMIFS(C14:C19,B14:B19,"January")</f>
        <v>350000</v>
      </c>
      <c r="C25" s="9"/>
      <c r="D25" s="3" t="n">
        <f aca="false">SUMIFS(C14:C19,B14:B19,"January")</f>
        <v>350000</v>
      </c>
      <c r="E25" s="3"/>
      <c r="F25" s="3"/>
      <c r="G25" s="3"/>
    </row>
    <row r="26" customFormat="false" ht="21.75" hidden="false" customHeight="true" outlineLevel="0" collapsed="false">
      <c r="A26" s="8" t="s">
        <v>121</v>
      </c>
      <c r="B26" s="9" t="n">
        <f aca="false">SUMIFS(C14:C19,A14:A19,101,B14:B19,"February")</f>
        <v>130000</v>
      </c>
      <c r="C26" s="9"/>
      <c r="D26" s="3" t="n">
        <f aca="false">SUMIFS(C14:C19,A14:A19,101,B14:B19,"February")</f>
        <v>130000</v>
      </c>
      <c r="E26" s="3"/>
      <c r="F26" s="3"/>
      <c r="G26" s="3"/>
    </row>
    <row r="27" customFormat="false" ht="21.75" hidden="false" customHeight="true" outlineLevel="0" collapsed="false">
      <c r="A27" s="8" t="s">
        <v>122</v>
      </c>
      <c r="B27" s="9" t="n">
        <f aca="false">SUMIF(C6:C10,"Sales",E6:E10)</f>
        <v>135000</v>
      </c>
      <c r="C27" s="9"/>
      <c r="D27" s="3" t="n">
        <f aca="false">SUMIF(C6:C10,"Sales",E6:E10)</f>
        <v>135000</v>
      </c>
      <c r="E27" s="3"/>
      <c r="F27" s="3"/>
      <c r="G27" s="3"/>
    </row>
    <row r="28" customFormat="false" ht="21.75" hidden="false" customHeight="true" outlineLevel="0" collapsed="false">
      <c r="A28" s="8" t="s">
        <v>123</v>
      </c>
      <c r="B28" s="9" t="n">
        <f aca="false">COUNTIFS(C6:C10,"Sales",D6:D10,"Karachi")</f>
        <v>2</v>
      </c>
      <c r="C28" s="9"/>
      <c r="D28" s="3" t="n">
        <f aca="false">COUNTIFS(C6:C10,"Sales",D6:D10,"Karachi")</f>
        <v>2</v>
      </c>
      <c r="E28" s="3"/>
      <c r="F28" s="3"/>
      <c r="G28" s="3"/>
    </row>
    <row r="29" customFormat="false" ht="21.75" hidden="false" customHeight="true" outlineLevel="0" collapsed="false">
      <c r="A29" s="8" t="s">
        <v>124</v>
      </c>
      <c r="B29" s="9" t="n">
        <f aca="false">COUNTIFS(B14:B19,"January",C14:C19,"&gt;100000")</f>
        <v>2</v>
      </c>
      <c r="C29" s="9"/>
      <c r="D29" s="3" t="n">
        <f aca="false">COUNTIFS(B14:B19,"January",C14:C19,"&gt;100000")</f>
        <v>2</v>
      </c>
      <c r="E29" s="3"/>
      <c r="F29" s="3"/>
      <c r="G29" s="3"/>
    </row>
    <row r="31" customFormat="false" ht="27.75" hidden="false" customHeight="true" outlineLevel="0" collapsed="false">
      <c r="A31" s="27" t="s">
        <v>125</v>
      </c>
      <c r="B31" s="27"/>
      <c r="C31" s="27"/>
      <c r="D31" s="27"/>
      <c r="E31" s="27"/>
      <c r="F31" s="27"/>
      <c r="G31" s="27"/>
    </row>
  </sheetData>
  <mergeCells count="22">
    <mergeCell ref="A1:G1"/>
    <mergeCell ref="A2:G2"/>
    <mergeCell ref="A4:G4"/>
    <mergeCell ref="A12:G12"/>
    <mergeCell ref="A21:G21"/>
    <mergeCell ref="B22:C22"/>
    <mergeCell ref="D22:G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2026-02-17T08:40:06Z</dcterms:created>
  <dc:creator>openpyxl</dc:creator>
  <dc:description/>
  <dc:language>en-US</dc:language>
  <cp:lastModifiedBy/>
  <dcterms:modified xsi:type="dcterms:W3CDTF">2026-02-17T08:41:26Z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