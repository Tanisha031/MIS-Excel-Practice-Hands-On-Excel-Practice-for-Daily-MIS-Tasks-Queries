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SUM &amp; AVERAGE" sheetId="1" state="visible" r:id="rId3"/>
    <sheet name="2-COUNT &amp; IF" sheetId="2" state="visible" r:id="rId4"/>
    <sheet name="3-CONCATENATE &amp; TEXT" sheetId="3" state="visible" r:id="rId5"/>
    <sheet name="4-CHALLENG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<sst xmlns="http://schemas.openxmlformats.org/spreadsheetml/2006/main" count="117" uniqueCount="103">
  <si>
    <t xml:space="preserve">📊  WEEK 1 — SUM &amp; AVERAGE Practice</t>
  </si>
  <si>
    <t xml:space="preserve">Q1: January Daily Sales (Enter values → Total auto-calculates)</t>
  </si>
  <si>
    <t xml:space="preserve">Day</t>
  </si>
  <si>
    <t xml:space="preserve">Sales (Rs)</t>
  </si>
  <si>
    <t xml:space="preserve">Summary</t>
  </si>
  <si>
    <t xml:space="preserve">Result</t>
  </si>
  <si>
    <t xml:space="preserve">Total Monthly Sales →</t>
  </si>
  <si>
    <t xml:space="preserve">Q2: Employee Performance Ratings — Find AVERAGE</t>
  </si>
  <si>
    <t xml:space="preserve">Month</t>
  </si>
  <si>
    <t xml:space="preserve">Rating</t>
  </si>
  <si>
    <t xml:space="preserve">Formula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</si>
  <si>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</si>
  <si>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</si>
  <si>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</si>
  <si>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</si>
  <si>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</si>
  <si>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Average Rating →</t>
  </si>
  <si>
    <t xml:space="preserve">💡 Tip: SUM adds all values.  AVERAGE = SUM ÷ COUNT  |  Try changing the numbers and watch the result update!</t>
  </si>
  <si>
    <t xml:space="preserve">🔢  WEEK 1 — COUNT &amp; IF Practice</t>
  </si>
  <si>
    <t xml:space="preserve">Q3: COUNT — Sales Data (some cells blank). How many entries exist?</t>
  </si>
  <si>
    <t xml:space="preserve">Entry #</t>
  </si>
  <si>
    <t xml:space="preserve">Sales Amount</t>
  </si>
  <si>
    <t xml:space="preserve">COUNT of filled cells -&gt;</t>
  </si>
  <si>
    <t xml:space="preserve">Q4: IF — Sales vs Target. Show 'Bonus' or 'No Bonus'</t>
  </si>
  <si>
    <t xml:space="preserve">Salesperson</t>
  </si>
  <si>
    <t xml:space="preserve">Sales</t>
  </si>
  <si>
    <t xml:space="preserve">Target</t>
  </si>
  <si>
    <t xml:space="preserve">Status (Formula)</t>
  </si>
  <si>
    <t xml:space="preserve">Hint</t>
  </si>
  <si>
    <t xml:space="preserve">Ahmed</t>
  </si>
  <si>
    <t xml:space="preserve">Sara</t>
  </si>
  <si>
    <t xml:space="preserve">Zain</t>
  </si>
  <si>
    <t xml:space="preserve">Fatima</t>
  </si>
  <si>
    <t xml:space="preserve">Usman</t>
  </si>
  <si>
    <t xml:space="preserve">💡 Tip: IF(condition, value_if_true, value_if_false) — Change the sales numbers and watch status update!</t>
  </si>
  <si>
    <t xml:space="preserve">Q5: IF — Attendance Check (&gt;=26 days = 'Good', else 'Warning')</t>
  </si>
  <si>
    <t xml:space="preserve">Employee</t>
  </si>
  <si>
    <t xml:space="preserve">Days Present</t>
  </si>
  <si>
    <t xml:space="preserve">Required</t>
  </si>
  <si>
    <t xml:space="preserve">Status</t>
  </si>
  <si>
    <t xml:space="preserve">Ali</t>
  </si>
  <si>
    <t xml:space="preserve">Bilal</t>
  </si>
  <si>
    <t xml:space="preserve">Hira</t>
  </si>
  <si>
    <t xml:space="preserve">📝  WEEK 1 — CONCATENATE &amp; TEXT Functions</t>
  </si>
  <si>
    <t xml:space="preserve">Q6: CONCATENATE — Join First Name + Last Name with a space</t>
  </si>
  <si>
    <t xml:space="preserve">First Name</t>
  </si>
  <si>
    <t xml:space="preserve">Last Name</t>
  </si>
  <si>
    <t xml:space="preserve">Full Name (Formula)</t>
  </si>
  <si>
    <t xml:space="preserve">Formula Used</t>
  </si>
  <si>
    <t xml:space="preserve">Khan</t>
  </si>
  <si>
    <t xml:space="preserve">Hint: =CONCATENATE(A5," ",B5)  OR use the &amp; operator</t>
  </si>
  <si>
    <t xml:space="preserve">Hint: =CONCATENATE(A6," ",B6)  OR use the &amp; operator</t>
  </si>
  <si>
    <t xml:space="preserve">Malik</t>
  </si>
  <si>
    <t xml:space="preserve">Hint: =CONCATENATE(A7," ",B7)  OR use the &amp; operator</t>
  </si>
  <si>
    <t xml:space="preserve">Raza</t>
  </si>
  <si>
    <t xml:space="preserve">Hint: =CONCATENATE(A8," ",B8)  OR use the &amp; operator</t>
  </si>
  <si>
    <t xml:space="preserve">Sheikh</t>
  </si>
  <si>
    <t xml:space="preserve">Hint: =CONCATENATE(A9," ",B9)  OR use the &amp; operator</t>
  </si>
  <si>
    <t xml:space="preserve">Q7: CONCATENATE — Build Product Code (PRD-1001 format)</t>
  </si>
  <si>
    <t xml:space="preserve">Prefix</t>
  </si>
  <si>
    <t xml:space="preserve">Number</t>
  </si>
  <si>
    <t xml:space="preserve">Product Code (Formula)</t>
  </si>
  <si>
    <t xml:space="preserve">PRD</t>
  </si>
  <si>
    <t xml:space="preserve">1001</t>
  </si>
  <si>
    <t xml:space="preserve">1002</t>
  </si>
  <si>
    <t xml:space="preserve">SVC</t>
  </si>
  <si>
    <t xml:space="preserve">2001</t>
  </si>
  <si>
    <t xml:space="preserve">2002</t>
  </si>
  <si>
    <t xml:space="preserve">Q8: TEXT Functions — UPPER, LOWER, PROPER, LEN</t>
  </si>
  <si>
    <t xml:space="preserve">Original Text</t>
  </si>
  <si>
    <t xml:space="preserve">UPPER</t>
  </si>
  <si>
    <t xml:space="preserve">LOWER</t>
  </si>
  <si>
    <t xml:space="preserve">PROPER</t>
  </si>
  <si>
    <t xml:space="preserve">LEN</t>
  </si>
  <si>
    <t xml:space="preserve">ahmed khan</t>
  </si>
  <si>
    <t xml:space="preserve">SARA ALI</t>
  </si>
  <si>
    <t xml:space="preserve">zAIn MaLiK</t>
  </si>
  <si>
    <t xml:space="preserve">FATIMA raza</t>
  </si>
  <si>
    <t xml:space="preserve">usman SHEIKH</t>
  </si>
  <si>
    <t xml:space="preserve">💡 UPPER=ALL CAPS | LOWER=all small | PROPER=First Letter Capital | LEN=counts characters</t>
  </si>
  <si>
    <t xml:space="preserve">🏆  WEEK 1 — MEGA CHALLENGE  (All Functions Combined)</t>
  </si>
  <si>
    <t xml:space="preserve">Scenario: You are an MIS Executive. Complete the employee report using Week 1 functions.</t>
  </si>
  <si>
    <t xml:space="preserve">first name</t>
  </si>
  <si>
    <t xml:space="preserve">last name</t>
  </si>
  <si>
    <t xml:space="preserve">Required Days</t>
  </si>
  <si>
    <t xml:space="preserve">ahmed</t>
  </si>
  <si>
    <t xml:space="preserve">khan</t>
  </si>
  <si>
    <t xml:space="preserve">sara</t>
  </si>
  <si>
    <t xml:space="preserve">ali</t>
  </si>
  <si>
    <t xml:space="preserve">zain</t>
  </si>
  <si>
    <t xml:space="preserve">malik</t>
  </si>
  <si>
    <t xml:space="preserve">fatima</t>
  </si>
  <si>
    <t xml:space="preserve">raza</t>
  </si>
  <si>
    <t xml:space="preserve">usman</t>
  </si>
  <si>
    <t xml:space="preserve">sheikh</t>
  </si>
  <si>
    <t xml:space="preserve">▼ YOUR ANSWERS (Add columns here)</t>
  </si>
  <si>
    <t xml:space="preserve">Full Name
(PROPER+CONCAT)</t>
  </si>
  <si>
    <t xml:space="preserve">Sales Status
(IF)</t>
  </si>
  <si>
    <t xml:space="preserve">Attendance
(IF)</t>
  </si>
  <si>
    <t xml:space="preserve">Total Sales
(SUM)</t>
  </si>
  <si>
    <t xml:space="preserve">Avg Sales
(AVERAGE)</t>
  </si>
  <si>
    <t xml:space="preserve">Formula Hint</t>
  </si>
  <si>
    <t xml:space="preserve">✅ Formulas already added — Study them, then try building your OWN sheet from scratch!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</si>
</sst>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7B2D8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FFF2CC"/>
        <bgColor rgb="FFE2EFDA"/>
      </patternFill>
    </fill>
    <fill>
      <patternFill patternType="solid">
        <fgColor rgb="FF2E4057"/>
        <bgColor rgb="FF1F4E79"/>
      </patternFill>
    </fill>
    <fill>
      <patternFill patternType="solid">
        <fgColor rgb="FFE2EFDA"/>
        <bgColor rgb="FFEBF3FB"/>
      </patternFill>
    </fill>
    <fill>
      <patternFill patternType="solid">
        <fgColor rgb="FFC00000"/>
        <bgColor rgb="FF800000"/>
      </patternFill>
    </fill>
    <fill>
      <patternFill patternType="solid">
        <fgColor rgb="FF7B2D8B"/>
        <bgColor rgb="FF993366"/>
      </patternFill>
    </fill>
    <fill>
      <patternFill patternType="solid">
        <fgColor rgb="FF375623"/>
        <bgColor rgb="FF2E4057"/>
      </patternFill>
    </fill>
    <fill>
      <patternFill patternType="solid">
        <fgColor rgb="FFEBF3FB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2D8B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75623"/>
      <rgbColor rgb="FF993300"/>
      <rgbColor rgb="FF993366"/>
      <rgbColor rgb="FF1F4E7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</row>
    <row r="4" customFormat="false" ht="15" hidden="false" customHeight="true" outlineLevel="0" collapsed="false">
      <c r="A4" s="4" t="s">
        <v>2</v>
      </c>
      <c r="B4" s="4" t="s">
        <v>3</v>
      </c>
      <c r="C4" s="4"/>
      <c r="D4" s="4" t="s">
        <v>4</v>
      </c>
      <c r="E4" s="4" t="s">
        <v>5</v>
      </c>
    </row>
    <row r="5" customFormat="false" ht="15.75" hidden="false" customHeight="true" outlineLevel="0" collapsed="false">
      <c r="A5" s="5" t="n">
        <v>1</v>
      </c>
      <c r="B5" s="5" t="n">
        <v>5000</v>
      </c>
    </row>
    <row r="6" customFormat="false" ht="15.75" hidden="false" customHeight="true" outlineLevel="0" collapsed="false">
      <c r="A6" s="5" t="n">
        <v>2</v>
      </c>
      <c r="B6" s="5" t="n">
        <v>7200</v>
      </c>
    </row>
    <row r="7" customFormat="false" ht="15.75" hidden="false" customHeight="true" outlineLevel="0" collapsed="false">
      <c r="A7" s="5" t="n">
        <v>3</v>
      </c>
      <c r="B7" s="5" t="n">
        <v>4300</v>
      </c>
    </row>
    <row r="8" customFormat="false" ht="15.75" hidden="false" customHeight="true" outlineLevel="0" collapsed="false">
      <c r="A8" s="5" t="n">
        <v>4</v>
      </c>
      <c r="B8" s="5" t="n">
        <v>8100</v>
      </c>
    </row>
    <row r="9" customFormat="false" ht="15.75" hidden="false" customHeight="true" outlineLevel="0" collapsed="false">
      <c r="A9" s="5" t="n">
        <v>5</v>
      </c>
      <c r="B9" s="5" t="n">
        <v>6500</v>
      </c>
    </row>
    <row r="10" customFormat="false" ht="15.75" hidden="false" customHeight="true" outlineLevel="0" collapsed="false">
      <c r="A10" s="5" t="n">
        <v>6</v>
      </c>
      <c r="B10" s="5" t="n">
        <v>5900</v>
      </c>
    </row>
    <row r="11" customFormat="false" ht="15.75" hidden="false" customHeight="true" outlineLevel="0" collapsed="false">
      <c r="A11" s="5" t="n">
        <v>7</v>
      </c>
      <c r="B11" s="5" t="n">
        <v>7800</v>
      </c>
    </row>
    <row r="12" customFormat="false" ht="15.75" hidden="false" customHeight="true" outlineLevel="0" collapsed="false">
      <c r="A12" s="5" t="n">
        <v>8</v>
      </c>
      <c r="B12" s="5" t="n">
        <v>4200</v>
      </c>
    </row>
    <row r="13" customFormat="false" ht="15.75" hidden="false" customHeight="true" outlineLevel="0" collapsed="false">
      <c r="A13" s="5" t="n">
        <v>9</v>
      </c>
      <c r="B13" s="5" t="n">
        <v>6700</v>
      </c>
    </row>
    <row r="14" customFormat="false" ht="15.75" hidden="false" customHeight="true" outlineLevel="0" collapsed="false">
      <c r="A14" s="5" t="n">
        <v>10</v>
      </c>
      <c r="B14" s="5" t="n">
        <v>5100</v>
      </c>
    </row>
    <row r="15" customFormat="false" ht="15.75" hidden="false" customHeight="true" outlineLevel="0" collapsed="false">
      <c r="A15" s="5" t="n">
        <v>11</v>
      </c>
      <c r="B15" s="5" t="n">
        <v>8300</v>
      </c>
    </row>
    <row r="16" customFormat="false" ht="15.75" hidden="false" customHeight="true" outlineLevel="0" collapsed="false">
      <c r="A16" s="5" t="n">
        <v>12</v>
      </c>
      <c r="B16" s="5" t="n">
        <v>4900</v>
      </c>
    </row>
    <row r="17" customFormat="false" ht="15.75" hidden="false" customHeight="true" outlineLevel="0" collapsed="false">
      <c r="A17" s="5" t="n">
        <v>13</v>
      </c>
      <c r="B17" s="5" t="n">
        <v>7100</v>
      </c>
    </row>
    <row r="18" customFormat="false" ht="15.75" hidden="false" customHeight="true" outlineLevel="0" collapsed="false">
      <c r="A18" s="5" t="n">
        <v>14</v>
      </c>
      <c r="B18" s="5" t="n">
        <v>6300</v>
      </c>
    </row>
    <row r="19" customFormat="false" ht="15.75" hidden="false" customHeight="true" outlineLevel="0" collapsed="false">
      <c r="A19" s="5" t="n">
        <v>15</v>
      </c>
      <c r="B19" s="5" t="n">
        <v>5500</v>
      </c>
    </row>
    <row r="20" customFormat="false" ht="15.75" hidden="false" customHeight="true" outlineLevel="0" collapsed="false">
      <c r="A20" s="5" t="n">
        <v>16</v>
      </c>
      <c r="B20" s="5" t="n">
        <v>9200</v>
      </c>
    </row>
    <row r="21" customFormat="false" ht="15.75" hidden="false" customHeight="true" outlineLevel="0" collapsed="false">
      <c r="A21" s="5" t="n">
        <v>17</v>
      </c>
      <c r="B21" s="5" t="n">
        <v>4100</v>
      </c>
    </row>
    <row r="22" customFormat="false" ht="15.75" hidden="false" customHeight="true" outlineLevel="0" collapsed="false">
      <c r="A22" s="5" t="n">
        <v>18</v>
      </c>
      <c r="B22" s="5" t="n">
        <v>7400</v>
      </c>
    </row>
    <row r="23" customFormat="false" ht="15.75" hidden="false" customHeight="true" outlineLevel="0" collapsed="false">
      <c r="A23" s="5" t="n">
        <v>19</v>
      </c>
      <c r="B23" s="5" t="n">
        <v>6800</v>
      </c>
    </row>
    <row r="24" customFormat="false" ht="15.75" hidden="false" customHeight="true" outlineLevel="0" collapsed="false">
      <c r="A24" s="5" t="n">
        <v>20</v>
      </c>
      <c r="B24" s="5" t="n">
        <v>5200</v>
      </c>
    </row>
    <row r="25" customFormat="false" ht="15.75" hidden="false" customHeight="true" outlineLevel="0" collapsed="false">
      <c r="A25" s="5" t="n">
        <v>21</v>
      </c>
      <c r="B25" s="5" t="n">
        <v>8900</v>
      </c>
    </row>
    <row r="26" customFormat="false" ht="15.75" hidden="false" customHeight="true" outlineLevel="0" collapsed="false">
      <c r="A26" s="5" t="n">
        <v>22</v>
      </c>
      <c r="B26" s="5" t="n">
        <v>4600</v>
      </c>
    </row>
    <row r="27" customFormat="false" ht="15.75" hidden="false" customHeight="true" outlineLevel="0" collapsed="false">
      <c r="A27" s="5" t="n">
        <v>23</v>
      </c>
      <c r="B27" s="5" t="n">
        <v>7300</v>
      </c>
    </row>
    <row r="28" customFormat="false" ht="15.75" hidden="false" customHeight="true" outlineLevel="0" collapsed="false">
      <c r="A28" s="5" t="n">
        <v>24</v>
      </c>
      <c r="B28" s="5" t="n">
        <v>6100</v>
      </c>
    </row>
    <row r="29" customFormat="false" ht="15.75" hidden="false" customHeight="true" outlineLevel="0" collapsed="false">
      <c r="A29" s="5" t="n">
        <v>25</v>
      </c>
      <c r="B29" s="5" t="n">
        <v>5700</v>
      </c>
    </row>
    <row r="30" customFormat="false" ht="15.75" hidden="false" customHeight="true" outlineLevel="0" collapsed="false">
      <c r="A30" s="5" t="n">
        <v>26</v>
      </c>
      <c r="B30" s="5" t="n">
        <v>9400</v>
      </c>
    </row>
    <row r="31" customFormat="false" ht="15.75" hidden="false" customHeight="true" outlineLevel="0" collapsed="false">
      <c r="A31" s="5" t="n">
        <v>27</v>
      </c>
      <c r="B31" s="5" t="n">
        <v>4400</v>
      </c>
    </row>
    <row r="32" customFormat="false" ht="15.75" hidden="false" customHeight="true" outlineLevel="0" collapsed="false">
      <c r="A32" s="5" t="n">
        <v>28</v>
      </c>
      <c r="B32" s="5" t="n">
        <v>7600</v>
      </c>
    </row>
    <row r="33" customFormat="false" ht="15.75" hidden="false" customHeight="true" outlineLevel="0" collapsed="false">
      <c r="A33" s="5" t="n">
        <v>29</v>
      </c>
      <c r="B33" s="5" t="n">
        <v>6900</v>
      </c>
    </row>
    <row r="34" customFormat="false" ht="15.75" hidden="false" customHeight="true" outlineLevel="0" collapsed="false">
      <c r="A34" s="5" t="n">
        <v>30</v>
      </c>
      <c r="B34" s="5" t="n">
        <v>5300</v>
      </c>
    </row>
    <row r="35" customFormat="false" ht="15.75" hidden="false" customHeight="true" outlineLevel="0" collapsed="false">
      <c r="A35" s="5" t="n">
        <v>31</v>
      </c>
      <c r="B35" s="5" t="n">
        <v>8100</v>
      </c>
    </row>
    <row r="36" customFormat="false" ht="15" hidden="false" customHeight="true" outlineLevel="0" collapsed="false">
      <c r="D36" s="6" t="s">
        <v>6</v>
      </c>
      <c r="E36" s="7" t="n">
        <f aca="false">SUM(B5:B35)</f>
        <v>199900</v>
      </c>
    </row>
    <row r="38" customFormat="false" ht="15" hidden="false" customHeight="true" outlineLevel="0" collapsed="false">
      <c r="A38" s="3" t="s">
        <v>7</v>
      </c>
      <c r="B38" s="3"/>
      <c r="C38" s="3"/>
      <c r="D38" s="3"/>
      <c r="E38" s="3"/>
    </row>
    <row r="39" customFormat="false" ht="15" hidden="false" customHeight="true" outlineLevel="0" collapsed="false">
      <c r="A39" s="4" t="s">
        <v>8</v>
      </c>
      <c r="B39" s="4" t="s">
        <v>9</v>
      </c>
      <c r="C39" s="4"/>
      <c r="D39" s="4" t="s">
        <v>10</v>
      </c>
      <c r="E39" s="4" t="s">
        <v>5</v>
      </c>
    </row>
    <row r="40" customFormat="false" ht="15" hidden="false" customHeight="true" outlineLevel="0" collapsed="false">
      <c r="A40" s="5" t="s">
        <v>11</v>
      </c>
      <c r="B40" s="5" t="n">
        <v>4.2</v>
      </c>
    </row>
    <row r="41" customFormat="false" ht="15" hidden="false" customHeight="true" outlineLevel="0" collapsed="false">
      <c r="A41" s="5" t="s">
        <v>12</v>
      </c>
      <c r="B41" s="5" t="n">
        <v>3.8</v>
      </c>
    </row>
    <row r="42" customFormat="false" ht="15" hidden="false" customHeight="true" outlineLevel="0" collapsed="false">
      <c r="A42" s="5" t="s">
        <v>13</v>
      </c>
      <c r="B42" s="5" t="n">
        <v>4.5</v>
      </c>
    </row>
    <row r="43" customFormat="false" ht="15" hidden="false" customHeight="true" outlineLevel="0" collapsed="false">
      <c r="A43" s="5" t="s">
        <v>14</v>
      </c>
      <c r="B43" s="5" t="n">
        <v>4</v>
      </c>
    </row>
    <row r="44" customFormat="false" ht="15" hidden="false" customHeight="true" outlineLevel="0" collapsed="false">
      <c r="A44" s="5" t="s">
        <v>15</v>
      </c>
      <c r="B44" s="5" t="n">
        <v>3.9</v>
      </c>
    </row>
    <row r="45" customFormat="false" ht="15" hidden="false" customHeight="true" outlineLevel="0" collapsed="false">
      <c r="D45" s="6" t="s">
        <v>16</v>
      </c>
      <c r="E45" s="8" t="n">
        <f aca="false">AVERAGE(B40:B44)</f>
        <v>4.08</v>
      </c>
    </row>
    <row r="47" customFormat="false" ht="19.5" hidden="false" customHeight="true" outlineLevel="0" collapsed="false">
      <c r="A47" s="9" t="s">
        <v>17</v>
      </c>
      <c r="B47" s="9"/>
      <c r="C47" s="9"/>
      <c r="D47" s="9"/>
      <c r="E47" s="9"/>
    </row>
  </sheetData>
  <mergeCells count="4">
    <mergeCell ref="A1:E1"/>
    <mergeCell ref="A3:E3"/>
    <mergeCell ref="A38:E38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0"/>
  </cols>
  <sheetData>
    <row r="1" customFormat="false" ht="31.5" hidden="false" customHeight="true" outlineLevel="0" collapsed="false">
      <c r="A1" s="10" t="s">
        <v>18</v>
      </c>
      <c r="B1" s="10"/>
      <c r="C1" s="10"/>
      <c r="D1" s="10"/>
      <c r="E1" s="10"/>
    </row>
    <row r="3" customFormat="false" ht="15" hidden="false" customHeight="true" outlineLevel="0" collapsed="false">
      <c r="A3" s="3" t="s">
        <v>19</v>
      </c>
      <c r="B3" s="3"/>
      <c r="C3" s="3"/>
      <c r="D3" s="3"/>
      <c r="E3" s="3"/>
    </row>
    <row r="4" customFormat="false" ht="15" hidden="false" customHeight="true" outlineLevel="0" collapsed="false">
      <c r="A4" s="11" t="s">
        <v>20</v>
      </c>
      <c r="B4" s="11" t="s">
        <v>21</v>
      </c>
    </row>
    <row r="5" customFormat="false" ht="15" hidden="false" customHeight="true" outlineLevel="0" collapsed="false">
      <c r="A5" s="5" t="n">
        <v>1</v>
      </c>
      <c r="B5" s="5" t="n">
        <v>15000</v>
      </c>
    </row>
    <row r="6" customFormat="false" ht="15" hidden="false" customHeight="true" outlineLevel="0" collapsed="false">
      <c r="A6" s="5" t="n">
        <v>2</v>
      </c>
    </row>
    <row r="7" customFormat="false" ht="15" hidden="false" customHeight="true" outlineLevel="0" collapsed="false">
      <c r="A7" s="5" t="n">
        <v>3</v>
      </c>
      <c r="B7" s="5" t="n">
        <v>28000</v>
      </c>
    </row>
    <row r="8" customFormat="false" ht="15" hidden="false" customHeight="true" outlineLevel="0" collapsed="false">
      <c r="A8" s="5" t="n">
        <v>4</v>
      </c>
      <c r="B8" s="5" t="n">
        <v>32000</v>
      </c>
    </row>
    <row r="9" customFormat="false" ht="15" hidden="false" customHeight="true" outlineLevel="0" collapsed="false">
      <c r="A9" s="5" t="n">
        <v>5</v>
      </c>
    </row>
    <row r="10" customFormat="false" ht="15" hidden="false" customHeight="true" outlineLevel="0" collapsed="false">
      <c r="A10" s="5" t="n">
        <v>6</v>
      </c>
      <c r="B10" s="5" t="n">
        <v>19000</v>
      </c>
    </row>
    <row r="11" customFormat="false" ht="15" hidden="false" customHeight="true" outlineLevel="0" collapsed="false">
      <c r="A11" s="5" t="n">
        <v>7</v>
      </c>
      <c r="B11" s="5" t="n">
        <v>41000</v>
      </c>
    </row>
    <row r="12" customFormat="false" ht="15" hidden="false" customHeight="true" outlineLevel="0" collapsed="false">
      <c r="A12" s="5" t="n">
        <v>8</v>
      </c>
    </row>
    <row r="13" customFormat="false" ht="15" hidden="false" customHeight="true" outlineLevel="0" collapsed="false">
      <c r="A13" s="5" t="n">
        <v>9</v>
      </c>
      <c r="B13" s="5" t="n">
        <v>25000</v>
      </c>
    </row>
    <row r="14" customFormat="false" ht="15" hidden="false" customHeight="true" outlineLevel="0" collapsed="false">
      <c r="A14" s="5" t="n">
        <v>10</v>
      </c>
      <c r="B14" s="5" t="n">
        <v>37000</v>
      </c>
    </row>
    <row r="15" customFormat="false" ht="15" hidden="false" customHeight="true" outlineLevel="0" collapsed="false">
      <c r="D15" s="6" t="s">
        <v>22</v>
      </c>
      <c r="E15" s="12" t="n">
        <f aca="false">COUNT(B5:B14)</f>
        <v>7</v>
      </c>
    </row>
    <row r="17" customFormat="false" ht="15" hidden="false" customHeight="true" outlineLevel="0" collapsed="false">
      <c r="A17" s="3" t="s">
        <v>23</v>
      </c>
      <c r="B17" s="3"/>
      <c r="C17" s="3"/>
      <c r="D17" s="3"/>
      <c r="E17" s="3"/>
    </row>
    <row r="18" customFormat="false" ht="15" hidden="false" customHeight="true" outlineLevel="0" collapsed="false">
      <c r="A18" s="13" t="s">
        <v>24</v>
      </c>
      <c r="B18" s="13" t="s">
        <v>25</v>
      </c>
      <c r="C18" s="13" t="s">
        <v>26</v>
      </c>
      <c r="D18" s="13" t="s">
        <v>27</v>
      </c>
      <c r="E18" s="13" t="s">
        <v>28</v>
      </c>
    </row>
    <row r="19" customFormat="false" ht="15" hidden="false" customHeight="true" outlineLevel="0" collapsed="false">
      <c r="A19" s="5" t="s">
        <v>29</v>
      </c>
      <c r="B19" s="5" t="n">
        <v>45000</v>
      </c>
      <c r="C19" s="5" t="n">
        <v>40000</v>
      </c>
      <c r="D19" s="12" t="str">
        <f aca="false">IF(B19&gt;=C19,"Bonus","No Bonus")</f>
        <v>Bonus</v>
      </c>
      <c r="E19" s="14" t="str">
        <f aca="false">IF(B19&gt;=C19,"Bonus","No Bonus")</f>
        <v>Bonus</v>
      </c>
    </row>
    <row r="20" customFormat="false" ht="15" hidden="false" customHeight="true" outlineLevel="0" collapsed="false">
      <c r="A20" s="5" t="s">
        <v>30</v>
      </c>
      <c r="B20" s="5" t="n">
        <v>38000</v>
      </c>
      <c r="C20" s="5" t="n">
        <v>40000</v>
      </c>
      <c r="D20" s="12" t="str">
        <f aca="false">IF(B20&gt;=C20,"Bonus","No Bonus")</f>
        <v>No Bonus</v>
      </c>
      <c r="E20" s="14" t="str">
        <f aca="false">IF(B20&gt;=C20,"Bonus","No Bonus")</f>
        <v>No Bonus</v>
      </c>
    </row>
    <row r="21" customFormat="false" ht="15" hidden="false" customHeight="true" outlineLevel="0" collapsed="false">
      <c r="A21" s="5" t="s">
        <v>31</v>
      </c>
      <c r="B21" s="5" t="n">
        <v>52000</v>
      </c>
      <c r="C21" s="5" t="n">
        <v>40000</v>
      </c>
      <c r="D21" s="12" t="str">
        <f aca="false">IF(B21&gt;=C21,"Bonus","No Bonus")</f>
        <v>Bonus</v>
      </c>
      <c r="E21" s="14" t="str">
        <f aca="false">IF(B21&gt;=C21,"Bonus","No Bonus")</f>
        <v>Bonus</v>
      </c>
    </row>
    <row r="22" customFormat="false" ht="15" hidden="false" customHeight="true" outlineLevel="0" collapsed="false">
      <c r="A22" s="5" t="s">
        <v>32</v>
      </c>
      <c r="B22" s="5" t="n">
        <v>40000</v>
      </c>
      <c r="C22" s="5" t="n">
        <v>40000</v>
      </c>
      <c r="D22" s="12" t="str">
        <f aca="false">IF(B22&gt;=C22,"Bonus","No Bonus")</f>
        <v>Bonus</v>
      </c>
      <c r="E22" s="14" t="str">
        <f aca="false">IF(B22&gt;=C22,"Bonus","No Bonus")</f>
        <v>Bonus</v>
      </c>
    </row>
    <row r="23" customFormat="false" ht="15" hidden="false" customHeight="true" outlineLevel="0" collapsed="false">
      <c r="A23" s="5" t="s">
        <v>33</v>
      </c>
      <c r="B23" s="5" t="n">
        <v>35000</v>
      </c>
      <c r="C23" s="5" t="n">
        <v>40000</v>
      </c>
      <c r="D23" s="12" t="str">
        <f aca="false">IF(B23&gt;=C23,"Bonus","No Bonus")</f>
        <v>No Bonus</v>
      </c>
      <c r="E23" s="14" t="str">
        <f aca="false">IF(B23&gt;=C23,"Bonus","No Bonus")</f>
        <v>No Bonus</v>
      </c>
    </row>
    <row r="25" customFormat="false" ht="19.5" hidden="false" customHeight="true" outlineLevel="0" collapsed="false">
      <c r="A25" s="9" t="s">
        <v>34</v>
      </c>
      <c r="B25" s="9"/>
      <c r="C25" s="9"/>
      <c r="D25" s="9"/>
      <c r="E25" s="9"/>
    </row>
    <row r="27" customFormat="false" ht="15" hidden="false" customHeight="true" outlineLevel="0" collapsed="false">
      <c r="A27" s="3" t="s">
        <v>35</v>
      </c>
      <c r="B27" s="3"/>
      <c r="C27" s="3"/>
      <c r="D27" s="3"/>
      <c r="E27" s="3"/>
    </row>
    <row r="28" customFormat="false" ht="15" hidden="false" customHeight="true" outlineLevel="0" collapsed="false">
      <c r="A28" s="11" t="s">
        <v>36</v>
      </c>
      <c r="B28" s="11" t="s">
        <v>37</v>
      </c>
      <c r="C28" s="11" t="s">
        <v>38</v>
      </c>
      <c r="D28" s="11" t="s">
        <v>39</v>
      </c>
    </row>
    <row r="29" customFormat="false" ht="15" hidden="false" customHeight="true" outlineLevel="0" collapsed="false">
      <c r="A29" s="5" t="s">
        <v>29</v>
      </c>
      <c r="B29" s="5" t="n">
        <v>28</v>
      </c>
      <c r="C29" s="5" t="n">
        <v>26</v>
      </c>
      <c r="D29" s="12" t="str">
        <f aca="false">IF(B29&gt;=C29,"Good","Warning")</f>
        <v>Good</v>
      </c>
    </row>
    <row r="30" customFormat="false" ht="15" hidden="false" customHeight="true" outlineLevel="0" collapsed="false">
      <c r="A30" s="5" t="s">
        <v>30</v>
      </c>
      <c r="B30" s="5" t="n">
        <v>24</v>
      </c>
      <c r="C30" s="5" t="n">
        <v>26</v>
      </c>
      <c r="D30" s="12" t="str">
        <f aca="false">IF(B30&gt;=C30,"Good","Warning")</f>
        <v>Warning</v>
      </c>
    </row>
    <row r="31" customFormat="false" ht="15" hidden="false" customHeight="true" outlineLevel="0" collapsed="false">
      <c r="A31" s="5" t="s">
        <v>40</v>
      </c>
      <c r="B31" s="5" t="n">
        <v>27</v>
      </c>
      <c r="C31" s="5" t="n">
        <v>26</v>
      </c>
      <c r="D31" s="12" t="str">
        <f aca="false">IF(B31&gt;=C31,"Good","Warning")</f>
        <v>Good</v>
      </c>
    </row>
    <row r="32" customFormat="false" ht="15" hidden="false" customHeight="true" outlineLevel="0" collapsed="false">
      <c r="A32" s="5" t="s">
        <v>41</v>
      </c>
      <c r="B32" s="5" t="n">
        <v>20</v>
      </c>
      <c r="C32" s="5" t="n">
        <v>26</v>
      </c>
      <c r="D32" s="12" t="str">
        <f aca="false">IF(B32&gt;=C32,"Good","Warning")</f>
        <v>Warning</v>
      </c>
    </row>
    <row r="33" customFormat="false" ht="15" hidden="false" customHeight="true" outlineLevel="0" collapsed="false">
      <c r="A33" s="5" t="s">
        <v>42</v>
      </c>
      <c r="B33" s="5" t="n">
        <v>26</v>
      </c>
      <c r="C33" s="5" t="n">
        <v>26</v>
      </c>
      <c r="D33" s="12" t="str">
        <f aca="false">IF(B33&gt;=C33,"Good","Warning")</f>
        <v>Good</v>
      </c>
    </row>
  </sheetData>
  <mergeCells count="5">
    <mergeCell ref="A1:E1"/>
    <mergeCell ref="A3:E3"/>
    <mergeCell ref="A17:E17"/>
    <mergeCell ref="A25:E25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2"/>
    <col collapsed="false" customWidth="true" hidden="false" outlineLevel="0" max="4" min="4" style="1" width="28"/>
    <col collapsed="false" customWidth="true" hidden="false" outlineLevel="0" max="5" min="5" style="1" width="24"/>
  </cols>
  <sheetData>
    <row r="1" customFormat="false" ht="31.5" hidden="false" customHeight="true" outlineLevel="0" collapsed="false">
      <c r="A1" s="15" t="s">
        <v>43</v>
      </c>
      <c r="B1" s="15"/>
      <c r="C1" s="15"/>
      <c r="D1" s="15"/>
      <c r="E1" s="15"/>
    </row>
    <row r="3" customFormat="false" ht="15" hidden="false" customHeight="true" outlineLevel="0" collapsed="false">
      <c r="A3" s="3" t="s">
        <v>44</v>
      </c>
      <c r="B3" s="3"/>
      <c r="C3" s="3"/>
      <c r="D3" s="3"/>
      <c r="E3" s="3"/>
    </row>
    <row r="4" customFormat="false" ht="15" hidden="false" customHeight="true" outlineLevel="0" collapsed="false">
      <c r="A4" s="16" t="s">
        <v>45</v>
      </c>
      <c r="B4" s="16" t="s">
        <v>46</v>
      </c>
      <c r="C4" s="16" t="s">
        <v>47</v>
      </c>
      <c r="D4" s="16" t="s">
        <v>48</v>
      </c>
    </row>
    <row r="5" customFormat="false" ht="15" hidden="false" customHeight="true" outlineLevel="0" collapsed="false">
      <c r="A5" s="5" t="s">
        <v>29</v>
      </c>
      <c r="B5" s="5" t="s">
        <v>49</v>
      </c>
      <c r="C5" s="12" t="str">
        <f aca="false">CONCATENATE(A5," ",B5)</f>
        <v>Ahmed Khan</v>
      </c>
      <c r="D5" s="17" t="s">
        <v>50</v>
      </c>
    </row>
    <row r="6" customFormat="false" ht="15" hidden="false" customHeight="true" outlineLevel="0" collapsed="false">
      <c r="A6" s="5" t="s">
        <v>30</v>
      </c>
      <c r="B6" s="5" t="s">
        <v>40</v>
      </c>
      <c r="C6" s="12" t="str">
        <f aca="false">CONCATENATE(A6," ",B6)</f>
        <v>Sara Ali</v>
      </c>
      <c r="D6" s="17" t="s">
        <v>51</v>
      </c>
    </row>
    <row r="7" customFormat="false" ht="15" hidden="false" customHeight="true" outlineLevel="0" collapsed="false">
      <c r="A7" s="5" t="s">
        <v>31</v>
      </c>
      <c r="B7" s="5" t="s">
        <v>52</v>
      </c>
      <c r="C7" s="12" t="str">
        <f aca="false">CONCATENATE(A7," ",B7)</f>
        <v>Zain Malik</v>
      </c>
      <c r="D7" s="17" t="s">
        <v>53</v>
      </c>
    </row>
    <row r="8" customFormat="false" ht="15" hidden="false" customHeight="true" outlineLevel="0" collapsed="false">
      <c r="A8" s="5" t="s">
        <v>32</v>
      </c>
      <c r="B8" s="5" t="s">
        <v>54</v>
      </c>
      <c r="C8" s="12" t="str">
        <f aca="false">CONCATENATE(A8," ",B8)</f>
        <v>Fatima Raza</v>
      </c>
      <c r="D8" s="17" t="s">
        <v>55</v>
      </c>
    </row>
    <row r="9" customFormat="false" ht="15" hidden="false" customHeight="true" outlineLevel="0" collapsed="false">
      <c r="A9" s="5" t="s">
        <v>33</v>
      </c>
      <c r="B9" s="5" t="s">
        <v>56</v>
      </c>
      <c r="C9" s="12" t="str">
        <f aca="false">CONCATENATE(A9," ",B9)</f>
        <v>Usman Sheikh</v>
      </c>
      <c r="D9" s="17" t="s">
        <v>57</v>
      </c>
    </row>
    <row r="11" customFormat="false" ht="15" hidden="false" customHeight="true" outlineLevel="0" collapsed="false">
      <c r="A11" s="3" t="s">
        <v>58</v>
      </c>
      <c r="B11" s="3"/>
      <c r="C11" s="3"/>
      <c r="D11" s="3"/>
      <c r="E11" s="3"/>
    </row>
    <row r="12" customFormat="false" ht="26.25" hidden="false" customHeight="true" outlineLevel="0" collapsed="false">
      <c r="A12" s="18" t="s">
        <v>59</v>
      </c>
      <c r="B12" s="18" t="s">
        <v>60</v>
      </c>
      <c r="C12" s="18" t="s">
        <v>61</v>
      </c>
    </row>
    <row r="13" customFormat="false" ht="15" hidden="false" customHeight="true" outlineLevel="0" collapsed="false">
      <c r="A13" s="5" t="s">
        <v>62</v>
      </c>
      <c r="B13" s="5" t="s">
        <v>63</v>
      </c>
      <c r="C13" s="12" t="str">
        <f aca="false">A13&amp;"-"&amp;B13</f>
        <v>PRD-1001</v>
      </c>
    </row>
    <row r="14" customFormat="false" ht="15" hidden="false" customHeight="true" outlineLevel="0" collapsed="false">
      <c r="A14" s="5" t="s">
        <v>62</v>
      </c>
      <c r="B14" s="5" t="s">
        <v>64</v>
      </c>
      <c r="C14" s="12" t="str">
        <f aca="false">A14&amp;"-"&amp;B14</f>
        <v>PRD-1002</v>
      </c>
    </row>
    <row r="15" customFormat="false" ht="15" hidden="false" customHeight="true" outlineLevel="0" collapsed="false">
      <c r="A15" s="5" t="s">
        <v>65</v>
      </c>
      <c r="B15" s="5" t="s">
        <v>66</v>
      </c>
      <c r="C15" s="12" t="str">
        <f aca="false">A15&amp;"-"&amp;B15</f>
        <v>SVC-2001</v>
      </c>
    </row>
    <row r="16" customFormat="false" ht="15" hidden="false" customHeight="true" outlineLevel="0" collapsed="false">
      <c r="A16" s="5" t="s">
        <v>65</v>
      </c>
      <c r="B16" s="5" t="s">
        <v>67</v>
      </c>
      <c r="C16" s="12" t="str">
        <f aca="false">A16&amp;"-"&amp;B16</f>
        <v>SVC-2002</v>
      </c>
    </row>
    <row r="19" customFormat="false" ht="15" hidden="false" customHeight="true" outlineLevel="0" collapsed="false">
      <c r="A19" s="3" t="s">
        <v>68</v>
      </c>
      <c r="B19" s="3"/>
      <c r="C19" s="3"/>
      <c r="D19" s="3"/>
      <c r="E19" s="3"/>
    </row>
    <row r="20" customFormat="false" ht="15" hidden="false" customHeight="true" outlineLevel="0" collapsed="false">
      <c r="A20" s="13" t="s">
        <v>69</v>
      </c>
      <c r="B20" s="13" t="s">
        <v>70</v>
      </c>
      <c r="C20" s="13" t="s">
        <v>71</v>
      </c>
      <c r="D20" s="13" t="s">
        <v>72</v>
      </c>
      <c r="E20" s="13" t="s">
        <v>73</v>
      </c>
    </row>
    <row r="21" customFormat="false" ht="15" hidden="false" customHeight="true" outlineLevel="0" collapsed="false">
      <c r="A21" s="5" t="s">
        <v>74</v>
      </c>
      <c r="B21" s="19" t="str">
        <f aca="false">UPPER(A21)</f>
        <v>AHMED KHAN</v>
      </c>
      <c r="C21" s="19" t="str">
        <f aca="false">LOWER(A21)</f>
        <v>ahmed khan</v>
      </c>
      <c r="D21" s="19" t="str">
        <f aca="false">PROPER(A21)</f>
        <v>Ahmed Khan</v>
      </c>
      <c r="E21" s="19" t="n">
        <f aca="false">LEN(A21)</f>
        <v>10</v>
      </c>
    </row>
    <row r="22" customFormat="false" ht="15" hidden="false" customHeight="true" outlineLevel="0" collapsed="false">
      <c r="A22" s="5" t="s">
        <v>75</v>
      </c>
      <c r="B22" s="19" t="str">
        <f aca="false">UPPER(A22)</f>
        <v>SARA ALI</v>
      </c>
      <c r="C22" s="19" t="str">
        <f aca="false">LOWER(A22)</f>
        <v>sara ali</v>
      </c>
      <c r="D22" s="19" t="str">
        <f aca="false">PROPER(A22)</f>
        <v>Sara Ali</v>
      </c>
      <c r="E22" s="19" t="n">
        <f aca="false">LEN(A22)</f>
        <v>8</v>
      </c>
    </row>
    <row r="23" customFormat="false" ht="15" hidden="false" customHeight="true" outlineLevel="0" collapsed="false">
      <c r="A23" s="5" t="s">
        <v>76</v>
      </c>
      <c r="B23" s="19" t="str">
        <f aca="false">UPPER(A23)</f>
        <v>ZAIN MALIK</v>
      </c>
      <c r="C23" s="19" t="str">
        <f aca="false">LOWER(A23)</f>
        <v>zain malik</v>
      </c>
      <c r="D23" s="19" t="str">
        <f aca="false">PROPER(A23)</f>
        <v>Zain Malik</v>
      </c>
      <c r="E23" s="19" t="n">
        <f aca="false">LEN(A23)</f>
        <v>10</v>
      </c>
    </row>
    <row r="24" customFormat="false" ht="15" hidden="false" customHeight="true" outlineLevel="0" collapsed="false">
      <c r="A24" s="5" t="s">
        <v>77</v>
      </c>
      <c r="B24" s="19" t="str">
        <f aca="false">UPPER(A24)</f>
        <v>FATIMA RAZA</v>
      </c>
      <c r="C24" s="19" t="str">
        <f aca="false">LOWER(A24)</f>
        <v>fatima raza</v>
      </c>
      <c r="D24" s="19" t="str">
        <f aca="false">PROPER(A24)</f>
        <v>Fatima Raza</v>
      </c>
      <c r="E24" s="19" t="n">
        <f aca="false">LEN(A24)</f>
        <v>11</v>
      </c>
    </row>
    <row r="25" customFormat="false" ht="15" hidden="false" customHeight="true" outlineLevel="0" collapsed="false">
      <c r="A25" s="5" t="s">
        <v>78</v>
      </c>
      <c r="B25" s="19" t="str">
        <f aca="false">UPPER(A25)</f>
        <v>USMAN SHEIKH</v>
      </c>
      <c r="C25" s="19" t="str">
        <f aca="false">LOWER(A25)</f>
        <v>usman sheikh</v>
      </c>
      <c r="D25" s="19" t="str">
        <f aca="false">PROPER(A25)</f>
        <v>Usman Sheikh</v>
      </c>
      <c r="E25" s="19" t="n">
        <f aca="false">LEN(A25)</f>
        <v>12</v>
      </c>
    </row>
    <row r="27" customFormat="false" ht="19.5" hidden="false" customHeight="true" outlineLevel="0" collapsed="false">
      <c r="A27" s="9" t="s">
        <v>79</v>
      </c>
      <c r="B27" s="9"/>
      <c r="C27" s="9"/>
      <c r="D27" s="9"/>
      <c r="E27" s="9"/>
    </row>
  </sheetData>
  <mergeCells count="5">
    <mergeCell ref="A1:E1"/>
    <mergeCell ref="A3:E3"/>
    <mergeCell ref="A11:E11"/>
    <mergeCell ref="A19:E19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30"/>
  </cols>
  <sheetData>
    <row r="1" customFormat="false" ht="31.5" hidden="false" customHeight="true" outlineLevel="0" collapsed="false">
      <c r="A1" s="20" t="s">
        <v>80</v>
      </c>
      <c r="B1" s="20"/>
      <c r="C1" s="20"/>
      <c r="D1" s="20"/>
      <c r="E1" s="20"/>
      <c r="F1" s="20"/>
    </row>
    <row r="2" customFormat="false" ht="18" hidden="false" customHeight="true" outlineLevel="0" collapsed="false">
      <c r="A2" s="9" t="s">
        <v>81</v>
      </c>
      <c r="B2" s="9"/>
      <c r="C2" s="9"/>
      <c r="D2" s="9"/>
      <c r="E2" s="9"/>
      <c r="F2" s="9"/>
    </row>
    <row r="4" customFormat="false" ht="15" hidden="false" customHeight="true" outlineLevel="0" collapsed="false">
      <c r="A4" s="11" t="s">
        <v>82</v>
      </c>
      <c r="B4" s="11" t="s">
        <v>83</v>
      </c>
      <c r="C4" s="11" t="s">
        <v>25</v>
      </c>
      <c r="D4" s="11" t="s">
        <v>26</v>
      </c>
      <c r="E4" s="11" t="s">
        <v>37</v>
      </c>
      <c r="F4" s="11" t="s">
        <v>84</v>
      </c>
    </row>
    <row r="5" customFormat="false" ht="15" hidden="false" customHeight="true" outlineLevel="0" collapsed="false">
      <c r="A5" s="21" t="s">
        <v>85</v>
      </c>
      <c r="B5" s="21" t="s">
        <v>86</v>
      </c>
      <c r="C5" s="21" t="n">
        <v>150000</v>
      </c>
      <c r="D5" s="21" t="n">
        <v>100000</v>
      </c>
      <c r="E5" s="21" t="n">
        <v>28</v>
      </c>
      <c r="F5" s="21" t="n">
        <v>26</v>
      </c>
    </row>
    <row r="6" customFormat="false" ht="15" hidden="false" customHeight="true" outlineLevel="0" collapsed="false">
      <c r="A6" s="5" t="s">
        <v>87</v>
      </c>
      <c r="B6" s="5" t="s">
        <v>88</v>
      </c>
      <c r="C6" s="5" t="n">
        <v>85000</v>
      </c>
      <c r="D6" s="5" t="n">
        <v>100000</v>
      </c>
      <c r="E6" s="5" t="n">
        <v>24</v>
      </c>
      <c r="F6" s="5" t="n">
        <v>26</v>
      </c>
    </row>
    <row r="7" customFormat="false" ht="15" hidden="false" customHeight="true" outlineLevel="0" collapsed="false">
      <c r="A7" s="21" t="s">
        <v>89</v>
      </c>
      <c r="B7" s="21" t="s">
        <v>90</v>
      </c>
      <c r="C7" s="21" t="n">
        <v>120000</v>
      </c>
      <c r="D7" s="21" t="n">
        <v>100000</v>
      </c>
      <c r="E7" s="21" t="n">
        <v>27</v>
      </c>
      <c r="F7" s="21" t="n">
        <v>26</v>
      </c>
    </row>
    <row r="8" customFormat="false" ht="15" hidden="false" customHeight="true" outlineLevel="0" collapsed="false">
      <c r="A8" s="5" t="s">
        <v>91</v>
      </c>
      <c r="B8" s="5" t="s">
        <v>92</v>
      </c>
      <c r="C8" s="5" t="n">
        <v>95000</v>
      </c>
      <c r="D8" s="5" t="n">
        <v>100000</v>
      </c>
      <c r="E8" s="5" t="n">
        <v>26</v>
      </c>
      <c r="F8" s="5" t="n">
        <v>26</v>
      </c>
    </row>
    <row r="9" customFormat="false" ht="15" hidden="false" customHeight="true" outlineLevel="0" collapsed="false">
      <c r="A9" s="21" t="s">
        <v>93</v>
      </c>
      <c r="B9" s="21" t="s">
        <v>94</v>
      </c>
      <c r="C9" s="21" t="n">
        <v>110000</v>
      </c>
      <c r="D9" s="21" t="n">
        <v>100000</v>
      </c>
      <c r="E9" s="21" t="n">
        <v>22</v>
      </c>
      <c r="F9" s="21" t="n">
        <v>26</v>
      </c>
    </row>
    <row r="11" customFormat="false" ht="15" hidden="false" customHeight="true" outlineLevel="0" collapsed="false">
      <c r="A11" s="22" t="s">
        <v>95</v>
      </c>
      <c r="B11" s="22"/>
      <c r="C11" s="22"/>
      <c r="D11" s="22"/>
      <c r="E11" s="22"/>
      <c r="F11" s="22"/>
    </row>
    <row r="12" customFormat="false" ht="26.25" hidden="false" customHeight="true" outlineLevel="0" collapsed="false">
      <c r="A12" s="18" t="s">
        <v>96</v>
      </c>
      <c r="B12" s="18" t="s">
        <v>97</v>
      </c>
      <c r="C12" s="18" t="s">
        <v>98</v>
      </c>
      <c r="D12" s="18" t="s">
        <v>99</v>
      </c>
      <c r="E12" s="18" t="s">
        <v>100</v>
      </c>
      <c r="F12" s="18" t="s">
        <v>101</v>
      </c>
    </row>
    <row r="13" customFormat="false" ht="15" hidden="false" customHeight="true" outlineLevel="0" collapsed="false">
      <c r="A13" s="23" t="str">
        <f aca="false">PROPER(A5)&amp;" "&amp;PROPER(B5)</f>
        <v>Ahmed Khan</v>
      </c>
      <c r="B13" s="23" t="str">
        <f aca="false">IF(C5&gt;=D5,"Target Met","Below Target")</f>
        <v>Target Met</v>
      </c>
      <c r="C13" s="23" t="str">
        <f aca="false">IF(E5&gt;=F5,"Good","Warning")</f>
        <v>Good</v>
      </c>
      <c r="D13" s="23" t="n">
        <f aca="false">SUM(C5:C9)</f>
        <v>560000</v>
      </c>
      <c r="E13" s="23" t="n">
        <f aca="false">AVERAGE(C5:C9)</f>
        <v>112000</v>
      </c>
      <c r="F13" s="14" t="str">
        <f aca="false">PROPER(A5)&amp;" "&amp;PROPER(B5)</f>
        <v>Ahmed Khan</v>
      </c>
    </row>
    <row r="14" customFormat="false" ht="15" hidden="false" customHeight="true" outlineLevel="0" collapsed="false">
      <c r="A14" s="23" t="str">
        <f aca="false">PROPER(A6)&amp;" "&amp;PROPER(B6)</f>
        <v>Sara Ali</v>
      </c>
      <c r="B14" s="23" t="str">
        <f aca="false">IF(C6&gt;=D6,"Target Met","Below Target")</f>
        <v>Below Target</v>
      </c>
      <c r="C14" s="23" t="str">
        <f aca="false">IF(E6&gt;=F6,"Good","Warning")</f>
        <v>Warning</v>
      </c>
      <c r="D14" s="23"/>
      <c r="E14" s="23"/>
      <c r="F14" s="14" t="str">
        <f aca="false">IF(C5&gt;=D5,"Target Met","Below Target")</f>
        <v>Target Met</v>
      </c>
    </row>
    <row r="15" customFormat="false" ht="15" hidden="false" customHeight="true" outlineLevel="0" collapsed="false">
      <c r="A15" s="23" t="str">
        <f aca="false">PROPER(A7)&amp;" "&amp;PROPER(B7)</f>
        <v>Zain Malik</v>
      </c>
      <c r="B15" s="23" t="str">
        <f aca="false">IF(C7&gt;=D7,"Target Met","Below Target")</f>
        <v>Target Met</v>
      </c>
      <c r="C15" s="23" t="str">
        <f aca="false">IF(E7&gt;=F7,"Good","Warning")</f>
        <v>Good</v>
      </c>
      <c r="D15" s="23"/>
      <c r="E15" s="23"/>
      <c r="F15" s="14" t="str">
        <f aca="false">IF(E5&gt;=F5,"Good","Warning")</f>
        <v>Good</v>
      </c>
    </row>
    <row r="16" customFormat="false" ht="15" hidden="false" customHeight="true" outlineLevel="0" collapsed="false">
      <c r="A16" s="23" t="str">
        <f aca="false">PROPER(A8)&amp;" "&amp;PROPER(B8)</f>
        <v>Fatima Raza</v>
      </c>
      <c r="B16" s="23" t="str">
        <f aca="false">IF(C8&gt;=D8,"Target Met","Below Target")</f>
        <v>Below Target</v>
      </c>
      <c r="C16" s="23" t="str">
        <f aca="false">IF(E8&gt;=F8,"Good","Warning")</f>
        <v>Good</v>
      </c>
      <c r="D16" s="23"/>
      <c r="E16" s="23"/>
      <c r="F16" s="14"/>
    </row>
    <row r="17" customFormat="false" ht="15" hidden="false" customHeight="true" outlineLevel="0" collapsed="false">
      <c r="A17" s="23" t="str">
        <f aca="false">PROPER(A9)&amp;" "&amp;PROPER(B9)</f>
        <v>Usman Sheikh</v>
      </c>
      <c r="B17" s="23" t="str">
        <f aca="false">IF(C9&gt;=D9,"Target Met","Below Target")</f>
        <v>Target Met</v>
      </c>
      <c r="C17" s="23" t="str">
        <f aca="false">IF(E9&gt;=F9,"Good","Warning")</f>
        <v>Warning</v>
      </c>
      <c r="D17" s="23"/>
      <c r="E17" s="23"/>
      <c r="F17" s="14"/>
    </row>
    <row r="19" customFormat="false" ht="19.5" hidden="false" customHeight="true" outlineLevel="0" collapsed="false">
      <c r="A19" s="9" t="s">
        <v>102</v>
      </c>
      <c r="B19" s="9"/>
      <c r="C19" s="9"/>
      <c r="D19" s="9"/>
      <c r="E19" s="9"/>
      <c r="F19" s="9"/>
    </row>
  </sheetData>
  <mergeCells count="4">
    <mergeCell ref="A1:F1"/>
    <mergeCell ref="A2:F2"/>
    <mergeCell ref="A11:F1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2026-02-17T08:34:14Z</dcterms:created>
  <dc:creator>openpyxl</dc:creator>
  <dc:description/>
  <dc:language>en-US</dc:language>
  <cp:lastModifiedBy/>
  <dcterms:modified xsi:type="dcterms:W3CDTF">2026-02-17T08:41:26Z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