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 - Legend" sheetId="1" state="visible" r:id="rId3"/>
    <sheet name="Week 1 - SUM AVG COUNT IF TEXT" sheetId="2" state="visible" r:id="rId4"/>
    <sheet name="Week 2 - VLOOKUP SUMIF Dates" sheetId="3" state="visible" r:id="rId5"/>
    <sheet name="Week 3 - SUMIFS IFERROR Tex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<sst xmlns="http://schemas.openxmlformats.org/spreadsheetml/2006/main" count="481" uniqueCount="312">
  <si>
    <t xml:space="preserve">MIS EXCEL PRACTICE — COLOR LEGEND &amp; GUIDE</t>
  </si>
  <si>
    <t xml:space="preserve">COLOR</t>
  </si>
  <si>
    <t xml:space="preserve">MEANING</t>
  </si>
  <si>
    <t xml:space="preserve">Dark Blue Banner</t>
  </si>
  <si>
    <t xml:space="preserve">Main week title and section headers</t>
  </si>
  <si>
    <t xml:space="preserve">Blue Question Banner</t>
  </si>
  <si>
    <t xml:space="preserve">Each practice question description</t>
  </si>
  <si>
    <t xml:space="preserve">Light Blue Header</t>
  </si>
  <si>
    <t xml:space="preserve">Table column labels</t>
  </si>
  <si>
    <t xml:space="preserve">Light Blue Row</t>
  </si>
  <si>
    <t xml:space="preserve">Alternating data rows for readability</t>
  </si>
  <si>
    <t xml:space="preserve">Green Formula Cell</t>
  </si>
  <si>
    <t xml:space="preserve">Contains the ANSWER formula — study it, then try it yourself!</t>
  </si>
  <si>
    <t xml:space="preserve">Yellow Tip Cell</t>
  </si>
  <si>
    <t xml:space="preserve">Syntax reminders and helpful notes</t>
  </si>
  <si>
    <t xml:space="preserve">Orange Challenge</t>
  </si>
  <si>
    <t xml:space="preserve">End-of-week challenge exercise</t>
  </si>
  <si>
    <t xml:space="preserve">HOW TO STUDY: Open each Week sheet → Read the question → Look at the green formula → Go to a blank sheet → Type the formula yourself from memory. Repeat until you can write it without looking!</t>
  </si>
  <si>
    <t xml:space="preserve">SHEETS: Week 1 = SUM, AVERAGE, COUNT, IF, CONCATENATE, TEXT  |  Week 2 = VLOOKUP, SUMIF, COUNTIF, Dates  |  Week 3 = SUMIFS, COUNTIFS, IFERROR, LEFT, RIGHT, MID, TRIM</t>
  </si>
  <si>
    <t xml:space="preserve">WEEK 1 PRACTICE — SUM  |  AVERAGE  |  COUNT  |  IF  |  CONCATENATE  |  TEXT FUNCTIONS</t>
  </si>
  <si>
    <t xml:space="preserve">SECTION 1 — SUM FUNCTION</t>
  </si>
  <si>
    <t xml:space="preserve">Q1: You have daily sales data for January. Write a SUM formula to find total monthly sales.</t>
  </si>
  <si>
    <t xml:space="preserve">Day</t>
  </si>
  <si>
    <t xml:space="preserve">Sales (PKR)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</si>
  <si>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</si>
  <si>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</si>
  <si>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</si>
  <si>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</si>
  <si>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</si>
  <si>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</si>
  <si>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</si>
  <si>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</si>
  <si>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</si>
  <si>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</si>
  <si>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</si>
  <si>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</si>
  <si>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</si>
  <si>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</si>
  <si>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Day 15</t>
  </si>
  <si>
    <t xml:space="preserve">Day 16</t>
  </si>
  <si>
    <t xml:space="preserve">Day 17</t>
  </si>
  <si>
    <t xml:space="preserve">Day 18</t>
  </si>
  <si>
    <t xml:space="preserve">Day 19</t>
  </si>
  <si>
    <t xml:space="preserve">Day 20</t>
  </si>
  <si>
    <t xml:space="preserve">Day 21</t>
  </si>
  <si>
    <t xml:space="preserve">Day 22</t>
  </si>
  <si>
    <t xml:space="preserve">Day 23</t>
  </si>
  <si>
    <t xml:space="preserve">Day 24</t>
  </si>
  <si>
    <t xml:space="preserve">Day 25</t>
  </si>
  <si>
    <t xml:space="preserve">Day 26</t>
  </si>
  <si>
    <t xml:space="preserve">Day 27</t>
  </si>
  <si>
    <t xml:space="preserve">Day 28</t>
  </si>
  <si>
    <t xml:space="preserve">Day 29</t>
  </si>
  <si>
    <t xml:space="preserve">Day 30</t>
  </si>
  <si>
    <t xml:space="preserve">Day 31</t>
  </si>
  <si>
    <t xml:space="preserve">TOTAL:</t>
  </si>
  <si>
    <t xml:space="preserve">Q2: Three products: Product A = 5,000 | Product B = 7,500 | Product C = 3,200. Find total sales.</t>
  </si>
  <si>
    <t xml:space="preserve">Product A</t>
  </si>
  <si>
    <t xml:space="preserve">Product B</t>
  </si>
  <si>
    <t xml:space="preserve">Product C</t>
  </si>
  <si>
    <t xml:space="preserve">Total:</t>
  </si>
  <si>
    <t xml:space="preserve">SUM Syntax: =SUM(range)  or  =SUM(value1, value2, value3)  |  Works with individual cells or a range like A1:A31</t>
  </si>
  <si>
    <t xml:space="preserve">SECTION 2 — AVERAGE FUNCTION</t>
  </si>
  <si>
    <t xml:space="preserve">Q3: Employee performance ratings over 5 months: Jan=4.2, Feb=3.8, Mar=4.5, Apr=4.0, May=3.9. Find average.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</si>
  <si>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</si>
  <si>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</si>
  <si>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</si>
  <si>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</si>
  <si>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</si>
  <si>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Average Rating:</t>
  </si>
  <si>
    <t xml:space="preserve">Q4: Daily website visits are in column C (rows below). Find average daily visits.</t>
  </si>
  <si>
    <t xml:space="preserve">Visits</t>
  </si>
  <si>
    <t xml:space="preserve">Average:</t>
  </si>
  <si>
    <t xml:space="preserve">SECTION 3 — COUNT FUNCTION</t>
  </si>
  <si>
    <t xml:space="preserve">Q5: Sales data below has some blank cells. Use COUNT to find how many entries actually have numbers.</t>
  </si>
  <si>
    <t xml:space="preserve">Entry #</t>
  </si>
  <si>
    <t xml:space="preserve">Sales Amount</t>
  </si>
  <si>
    <t xml:space="preserve">Note</t>
  </si>
  <si>
    <t xml:space="preserve">Missing data</t>
  </si>
  <si>
    <t xml:space="preserve">Count of number entries:</t>
  </si>
  <si>
    <t xml:space="preserve">COUNT = counts only number cells  |  COUNTA = counts all non-empty cells (numbers + text)  |  COUNTBLANK = counts empty cells</t>
  </si>
  <si>
    <t xml:space="preserve">SECTION 4 — IF FUNCTION</t>
  </si>
  <si>
    <t xml:space="preserve">Q6: Sales target is 50,000. For each salesperson, show 'Target Met' or 'Below Target'.</t>
  </si>
  <si>
    <t xml:space="preserve">Salesperson</t>
  </si>
  <si>
    <t xml:space="preserve">Target (PKR)</t>
  </si>
  <si>
    <t xml:space="preserve">Status (IF Formula)</t>
  </si>
  <si>
    <t xml:space="preserve">Ahmed</t>
  </si>
  <si>
    <t xml:space="preserve">Sara</t>
  </si>
  <si>
    <t xml:space="preserve">Zain</t>
  </si>
  <si>
    <t xml:space="preserve">Fatima</t>
  </si>
  <si>
    <t xml:space="preserve">Usman</t>
  </si>
  <si>
    <t xml:space="preserve">Q7: Student results — Score &gt;= 60 shows 'Pass', otherwise 'Fail'. Nested IF: A=90+, B=75+, C=60+, Fail otherwise.</t>
  </si>
  <si>
    <t xml:space="preserve">Student</t>
  </si>
  <si>
    <t xml:space="preserve">Score</t>
  </si>
  <si>
    <t xml:space="preserve">Simple Pass/Fail</t>
  </si>
  <si>
    <t xml:space="preserve">Grade (Nested IF)</t>
  </si>
  <si>
    <t xml:space="preserve">Ali</t>
  </si>
  <si>
    <t xml:space="preserve">Hina</t>
  </si>
  <si>
    <t xml:space="preserve">Kamran</t>
  </si>
  <si>
    <t xml:space="preserve">Nadia</t>
  </si>
  <si>
    <t xml:space="preserve">Bilal</t>
  </si>
  <si>
    <t xml:space="preserve">Rabia</t>
  </si>
  <si>
    <t xml:space="preserve">IF Syntax: =IF(condition, value_if_true, value_if_false)  |  Nested IF: =IF(cond1, val1, IF(cond2, val2, val3))</t>
  </si>
  <si>
    <t xml:space="preserve">SECTION 5 — CONCATENATE &amp; TEXT JOINING</t>
  </si>
  <si>
    <t xml:space="preserve">Q8: Combine First Name + Last Name. Also build product codes like 'PRD-1001'.</t>
  </si>
  <si>
    <t xml:space="preserve">First Name</t>
  </si>
  <si>
    <t xml:space="preserve">Last Name</t>
  </si>
  <si>
    <t xml:space="preserve">Full Name (CONCATENATE)</t>
  </si>
  <si>
    <t xml:space="preserve">Full Name (&amp; operator)</t>
  </si>
  <si>
    <t xml:space="preserve">Khan</t>
  </si>
  <si>
    <t xml:space="preserve">Malik</t>
  </si>
  <si>
    <t xml:space="preserve">Noor</t>
  </si>
  <si>
    <t xml:space="preserve">Prefix</t>
  </si>
  <si>
    <t xml:space="preserve">Number</t>
  </si>
  <si>
    <t xml:space="preserve">Product Code</t>
  </si>
  <si>
    <t xml:space="preserve">PRD</t>
  </si>
  <si>
    <t xml:space="preserve">1001</t>
  </si>
  <si>
    <t xml:space="preserve">1002</t>
  </si>
  <si>
    <t xml:space="preserve">1003</t>
  </si>
  <si>
    <t xml:space="preserve">SECTION 6 — TEXT FUNCTIONS: UPPER, LOWER, PROPER, LEN</t>
  </si>
  <si>
    <t xml:space="preserve">Q9: Clean up messy text data using UPPER, LOWER, PROPER, and LEN.</t>
  </si>
  <si>
    <t xml:space="preserve">Original Text</t>
  </si>
  <si>
    <t xml:space="preserve">UPPER</t>
  </si>
  <si>
    <t xml:space="preserve">LOWER</t>
  </si>
  <si>
    <t xml:space="preserve">PROPER</t>
  </si>
  <si>
    <t xml:space="preserve">LEN (characters)</t>
  </si>
  <si>
    <t xml:space="preserve">ali raza</t>
  </si>
  <si>
    <t xml:space="preserve">SARA AHMED</t>
  </si>
  <si>
    <t xml:space="preserve">kARACHI</t>
  </si>
  <si>
    <t xml:space="preserve">zain.malik@company.com</t>
  </si>
  <si>
    <t xml:space="preserve">0300-1234567</t>
  </si>
  <si>
    <t xml:space="preserve">  extra spaces  </t>
  </si>
  <si>
    <t xml:space="preserve">UPPER = ALL CAPS  |  LOWER = all lowercase  |  PROPER = First Letter Capitals  |  LEN = counts characters including spaces</t>
  </si>
  <si>
    <t xml:space="preserve">WEEK 1 CHALLENGE — COMPLETE MIS ATTENDANCE REPORT</t>
  </si>
  <si>
    <t xml:space="preserve">Build this report: Fix raw names (PROPER), check attendance status (IF), then calculate totals (SUM, AVERAGE, COUNT).</t>
  </si>
  <si>
    <t xml:space="preserve">Name (Raw)</t>
  </si>
  <si>
    <t xml:space="preserve">Days Present</t>
  </si>
  <si>
    <t xml:space="preserve">Required Days</t>
  </si>
  <si>
    <t xml:space="preserve">Proper Name</t>
  </si>
  <si>
    <t xml:space="preserve">Attendance Status</t>
  </si>
  <si>
    <t xml:space="preserve">Attendance %</t>
  </si>
  <si>
    <t xml:space="preserve">ahmed khan</t>
  </si>
  <si>
    <t xml:space="preserve">SARA ALI</t>
  </si>
  <si>
    <t xml:space="preserve">zain MALIK</t>
  </si>
  <si>
    <t xml:space="preserve">fatima noor</t>
  </si>
  <si>
    <t xml:space="preserve">USMAN tariq</t>
  </si>
  <si>
    <t xml:space="preserve">TOTALS / AVG:</t>
  </si>
  <si>
    <t xml:space="preserve">WEEK 2 PRACTICE — VLOOKUP  |  SUMIF  |  COUNTIF  |  DATE FUNCTIONS</t>
  </si>
  <si>
    <t xml:space="preserve">MASTER TABLE 1 — EMPLOYEES  (Reference table for VLOOKUP)</t>
  </si>
  <si>
    <t xml:space="preserve">Emp ID</t>
  </si>
  <si>
    <t xml:space="preserve">Name</t>
  </si>
  <si>
    <t xml:space="preserve">Department</t>
  </si>
  <si>
    <t xml:space="preserve">Salary (PKR)</t>
  </si>
  <si>
    <t xml:space="preserve">Ahmed Khan</t>
  </si>
  <si>
    <t xml:space="preserve">Sales</t>
  </si>
  <si>
    <t xml:space="preserve">Sara Ali</t>
  </si>
  <si>
    <t xml:space="preserve">HR</t>
  </si>
  <si>
    <t xml:space="preserve">Zain Malik</t>
  </si>
  <si>
    <t xml:space="preserve">Fatima Noor</t>
  </si>
  <si>
    <t xml:space="preserve">IT</t>
  </si>
  <si>
    <t xml:space="preserve">Usman Tariq</t>
  </si>
  <si>
    <t xml:space="preserve">MASTER TABLE 2 — PRODUCTS  (Reference table for VLOOKUP)</t>
  </si>
  <si>
    <t xml:space="preserve">Product Name</t>
  </si>
  <si>
    <t xml:space="preserve">Price (PKR)</t>
  </si>
  <si>
    <t xml:space="preserve">Category</t>
  </si>
  <si>
    <t xml:space="preserve">P001</t>
  </si>
  <si>
    <t xml:space="preserve">Laptop</t>
  </si>
  <si>
    <t xml:space="preserve">Electronics</t>
  </si>
  <si>
    <t xml:space="preserve">P002</t>
  </si>
  <si>
    <t xml:space="preserve">Mouse</t>
  </si>
  <si>
    <t xml:space="preserve">Accessories</t>
  </si>
  <si>
    <t xml:space="preserve">P003</t>
  </si>
  <si>
    <t xml:space="preserve">Keyboard</t>
  </si>
  <si>
    <t xml:space="preserve">P004</t>
  </si>
  <si>
    <t xml:space="preserve">Monitor</t>
  </si>
  <si>
    <t xml:space="preserve">P005</t>
  </si>
  <si>
    <t xml:space="preserve">Headphones</t>
  </si>
  <si>
    <t xml:space="preserve">SECTION 1 — VLOOKUP FUNCTION</t>
  </si>
  <si>
    <t xml:space="preserve">Q1: Look up employee details using Emp ID. Formula in green — study and then try writing yourself.</t>
  </si>
  <si>
    <t xml:space="preserve">Name (VLOOKUP)</t>
  </si>
  <si>
    <t xml:space="preserve">VLOOKUP Syntax: =VLOOKUP(what_to_find, table_range, column_number, FALSE)  |  Column 1=ID, 2=Name, 3=Dept, 4=Salary  |  Always FALSE for exact match!</t>
  </si>
  <si>
    <t xml:space="preserve">Q2: Auto-fill Invoice — enter product code and VLOOKUP pulls the name and price automatically.</t>
  </si>
  <si>
    <t xml:space="preserve">Unit Price</t>
  </si>
  <si>
    <t xml:space="preserve">Quantity</t>
  </si>
  <si>
    <t xml:space="preserve">Total Amount</t>
  </si>
  <si>
    <t xml:space="preserve">XXXX</t>
  </si>
  <si>
    <t xml:space="preserve">Grand Total:</t>
  </si>
  <si>
    <t xml:space="preserve">SECTION 2 — SUMIF &amp; COUNTIF FUNCTIONS</t>
  </si>
  <si>
    <t xml:space="preserve">Q3: Regional sales data — use SUMIF for total sales per region, COUNTIF to count transactions per region.</t>
  </si>
  <si>
    <t xml:space="preserve">Date</t>
  </si>
  <si>
    <t xml:space="preserve">Region</t>
  </si>
  <si>
    <t xml:space="preserve">2024-01-05</t>
  </si>
  <si>
    <t xml:space="preserve">Karachi</t>
  </si>
  <si>
    <t xml:space="preserve">2024-01-08</t>
  </si>
  <si>
    <t xml:space="preserve">Lahore</t>
  </si>
  <si>
    <t xml:space="preserve">2024-01-10</t>
  </si>
  <si>
    <t xml:space="preserve">2024-01-12</t>
  </si>
  <si>
    <t xml:space="preserve">Islamabad</t>
  </si>
  <si>
    <t xml:space="preserve">2024-01-15</t>
  </si>
  <si>
    <t xml:space="preserve">2024-01-18</t>
  </si>
  <si>
    <t xml:space="preserve">2024-01-20</t>
  </si>
  <si>
    <t xml:space="preserve">2024-01-22</t>
  </si>
  <si>
    <t xml:space="preserve">SUMIF &amp; COUNTIF Results by Region:</t>
  </si>
  <si>
    <t xml:space="preserve">Total Sales (SUMIF)</t>
  </si>
  <si>
    <t xml:space="preserve">Transaction Count (COUNTIF)</t>
  </si>
  <si>
    <t xml:space="preserve">Avg per Transaction</t>
  </si>
  <si>
    <t xml:space="preserve">Q4: Count transactions above 40,000 and sum sales above 40,000 using SUMIF/COUNTIF with operator.</t>
  </si>
  <si>
    <t xml:space="preserve">Condition</t>
  </si>
  <si>
    <t xml:space="preserve">COUNTIF Result</t>
  </si>
  <si>
    <t xml:space="preserve">SUMIF Result</t>
  </si>
  <si>
    <t xml:space="preserve">Sales &gt; 40,000</t>
  </si>
  <si>
    <t xml:space="preserve">Sales &gt; 50,000</t>
  </si>
  <si>
    <t xml:space="preserve">Sales &lt;= 35,000</t>
  </si>
  <si>
    <t xml:space="preserve">SUMIF Syntax: =SUMIF(range_to_check, condition, range_to_sum)  |  COUNTIF Syntax: =COUNTIF(range_to_check, condition)</t>
  </si>
  <si>
    <t xml:space="preserve">SECTION 3 — DATE FUNCTIONS: TODAY, YEAR, MONTH, DATEDIF</t>
  </si>
  <si>
    <t xml:space="preserve">Q5: Extract date parts and calculate employee age and years of experience.</t>
  </si>
  <si>
    <t xml:space="preserve">Employee</t>
  </si>
  <si>
    <t xml:space="preserve">Date of Birth</t>
  </si>
  <si>
    <t xml:space="preserve">Joining Date</t>
  </si>
  <si>
    <t xml:space="preserve">Birth Year</t>
  </si>
  <si>
    <t xml:space="preserve">Birth Month</t>
  </si>
  <si>
    <t xml:space="preserve">Age (Years)</t>
  </si>
  <si>
    <t xml:space="preserve">Experience (Yrs)</t>
  </si>
  <si>
    <t xml:space="preserve">1990-03-15</t>
  </si>
  <si>
    <t xml:space="preserve">2020-01-01</t>
  </si>
  <si>
    <t xml:space="preserve">1995-07-22</t>
  </si>
  <si>
    <t xml:space="preserve">2022-06-15</t>
  </si>
  <si>
    <t xml:space="preserve">1988-11-30</t>
  </si>
  <si>
    <t xml:space="preserve">2019-03-10</t>
  </si>
  <si>
    <t xml:space="preserve">1992-05-08</t>
  </si>
  <si>
    <t xml:space="preserve">2021-09-05</t>
  </si>
  <si>
    <t xml:space="preserve">TODAY() = today's date  |  YEAR(date) = year number  |  MONTH(date) = month number (1-12)  |  DATEDIF(start,end,'Y') = full years between dates</t>
  </si>
  <si>
    <t xml:space="preserve">WEEK 2 CHALLENGE — FULL EMPLOYEE + INVOICE LOOKUP SYSTEM</t>
  </si>
  <si>
    <t xml:space="preserve">Part A: Look up employees by ID. Part B: Count and sum sales by salesperson.</t>
  </si>
  <si>
    <t xml:space="preserve">Salary</t>
  </si>
  <si>
    <t xml:space="preserve">N/A (Join date not in master)</t>
  </si>
  <si>
    <t xml:space="preserve">WEEK 3 PRACTICE — SUMIFS  |  COUNTIFS  |  IFERROR  |  LEFT  |  RIGHT  |  MID  |  TRIM</t>
  </si>
  <si>
    <t xml:space="preserve">MASTER DATA — SALES TRANSACTIONS  (used for all SUMIFS &amp; COUNTIFS questions)</t>
  </si>
  <si>
    <t xml:space="preserve">Product</t>
  </si>
  <si>
    <t xml:space="preserve">Qty</t>
  </si>
  <si>
    <t xml:space="preserve">Unit Price (PKR)</t>
  </si>
  <si>
    <t xml:space="preserve">Total (PKR)</t>
  </si>
  <si>
    <t xml:space="preserve">2024-02-03</t>
  </si>
  <si>
    <t xml:space="preserve">2024-02-07</t>
  </si>
  <si>
    <t xml:space="preserve">2024-02-10</t>
  </si>
  <si>
    <t xml:space="preserve">2024-02-14</t>
  </si>
  <si>
    <t xml:space="preserve">2024-02-20</t>
  </si>
  <si>
    <t xml:space="preserve">SECTION 1 — SUMIFS FUNCTION (Multiple Conditions)</t>
  </si>
  <si>
    <t xml:space="preserve">Q1: Find total sales for Region + Product combinations using SUMIFS with 2 conditions.</t>
  </si>
  <si>
    <t xml:space="preserve">Total Amount (SUMIFS)</t>
  </si>
  <si>
    <t xml:space="preserve">Qty Sold (SUMIFS)</t>
  </si>
  <si>
    <t xml:space="preserve">SUMIFS Syntax: =SUMIFS(sum_range, criteria_range1, criteria1, criteria_range2, criteria2)  —  Add as many condition pairs as needed!</t>
  </si>
  <si>
    <t xml:space="preserve">Q2: Monthly totals — SUMIFS with date range to get January vs February totals per salesperson.</t>
  </si>
  <si>
    <t xml:space="preserve">Jan Total (SUMIFS)</t>
  </si>
  <si>
    <t xml:space="preserve">Feb Total (SUMIFS)</t>
  </si>
  <si>
    <t xml:space="preserve">Grand Total</t>
  </si>
  <si>
    <t xml:space="preserve">SECTION 2 — COUNTIFS FUNCTION (Multiple Conditions)</t>
  </si>
  <si>
    <t xml:space="preserve">Q3: Count transactions meeting multiple conditions simultaneously.</t>
  </si>
  <si>
    <t xml:space="preserve">Transaction Count (COUNTIFS)</t>
  </si>
  <si>
    <t xml:space="preserve">Q4: Count transactions in amount ranges using COUNTIFS with two conditions on same column.</t>
  </si>
  <si>
    <t xml:space="preserve">Description</t>
  </si>
  <si>
    <t xml:space="preserve">Min Amount</t>
  </si>
  <si>
    <t xml:space="preserve">Max Amount</t>
  </si>
  <si>
    <t xml:space="preserve">Count (COUNTIFS)</t>
  </si>
  <si>
    <t xml:space="preserve">Small transactions</t>
  </si>
  <si>
    <t xml:space="preserve">Medium transactions</t>
  </si>
  <si>
    <t xml:space="preserve">Large transactions</t>
  </si>
  <si>
    <t xml:space="preserve">SECTION 3 — IFERROR FUNCTION</t>
  </si>
  <si>
    <t xml:space="preserve">Q5: Product lookup — invalid codes cause errors. Wrap VLOOKUP with IFERROR to show friendly message.</t>
  </si>
  <si>
    <t xml:space="preserve">WITHOUT IFERROR (errors show)</t>
  </si>
  <si>
    <t xml:space="preserve">WITH IFERROR (clean output)</t>
  </si>
  <si>
    <t xml:space="preserve">P999</t>
  </si>
  <si>
    <t xml:space="preserve">ERROR: Product not found (N/A)</t>
  </si>
  <si>
    <t xml:space="preserve">Invalid Code — please check product code</t>
  </si>
  <si>
    <t xml:space="preserve">IFERROR Syntax: =IFERROR(formula, value_if_error)  |  Example: =IFERROR(VLOOKUP(A1,Table,2,FALSE),"Not Found")  |  Always use IFERROR with VLOOKUP in real MIS work!</t>
  </si>
  <si>
    <t xml:space="preserve">Q6: Performance ratio — Sales/Target. Protect against division by zero using IFERROR.</t>
  </si>
  <si>
    <t xml:space="preserve">Target</t>
  </si>
  <si>
    <t xml:space="preserve">Ratio WITHOUT IFERROR</t>
  </si>
  <si>
    <t xml:space="preserve">Ratio WITH IFERROR</t>
  </si>
  <si>
    <t xml:space="preserve">ERROR: Cannot divide by zero</t>
  </si>
  <si>
    <t xml:space="preserve">SECTION 4 — TEXT FUNCTIONS: LEFT, RIGHT, MID, TRIM</t>
  </si>
  <si>
    <t xml:space="preserve">Q7: Extract parts of text strings. Useful for cleaning imported MIS data.</t>
  </si>
  <si>
    <t xml:space="preserve">LEFT(text,4)</t>
  </si>
  <si>
    <t xml:space="preserve">RIGHT(text,5)</t>
  </si>
  <si>
    <t xml:space="preserve">MID(text,6,4)</t>
  </si>
  <si>
    <t xml:space="preserve">TRIM (clean spaces)</t>
  </si>
  <si>
    <t xml:space="preserve">LEN</t>
  </si>
  <si>
    <t xml:space="preserve">PKR-99887766</t>
  </si>
  <si>
    <t xml:space="preserve">REF-2024-JAN</t>
  </si>
  <si>
    <t xml:space="preserve">  Sara Ahmed  </t>
  </si>
  <si>
    <t xml:space="preserve">PROD-CODE-XYZ</t>
  </si>
  <si>
    <t xml:space="preserve">LEFT(text,n) = first n characters  |  RIGHT(text,n) = last n characters  |  MID(text,start,length) = middle characters  |  TRIM(text) = removes extra spaces</t>
  </si>
  <si>
    <t xml:space="preserve">Q8: Extract email username (text before @) and domain (text after @) using LEFT, RIGHT, MID, FIND.</t>
  </si>
  <si>
    <t xml:space="preserve">Email Address</t>
  </si>
  <si>
    <t xml:space="preserve">Username (before @)</t>
  </si>
  <si>
    <t xml:space="preserve">Domain (after @)</t>
  </si>
  <si>
    <t xml:space="preserve">ahmed.khan@company.com</t>
  </si>
  <si>
    <t xml:space="preserve">sara.ali@gmail.com</t>
  </si>
  <si>
    <t xml:space="preserve">zain@outlook.com</t>
  </si>
  <si>
    <t xml:space="preserve">fatima.noor@mis.pk</t>
  </si>
  <si>
    <t xml:space="preserve">WEEK 3 CHALLENGE — EMPLOYEE BONUS CALCULATOR (Uses ALL Week 1-3 Functions!)</t>
  </si>
  <si>
    <t xml:space="preserve">Rules: Sales dept → 10% bonus if sales &gt; target | Other depts → flat 5,000 bonus | Less than 2 years experience → No bonus (0). This challenge combines IF, SUMIFS, COUNTIFS, IFERROR, PROPER and DATEDIF!</t>
  </si>
  <si>
    <t xml:space="preserve">Raw Name</t>
  </si>
  <si>
    <t xml:space="preserve">Clean Name</t>
  </si>
  <si>
    <t xml:space="preserve">Exp (Yrs)</t>
  </si>
  <si>
    <t xml:space="preserve">Bonus Amount</t>
  </si>
  <si>
    <t xml:space="preserve">2023-03-10</t>
  </si>
  <si>
    <t xml:space="preserve">usman tariq</t>
  </si>
  <si>
    <t xml:space="preserve">2019-11-20</t>
  </si>
  <si>
    <t xml:space="preserve">SUMMARY</t>
  </si>
  <si>
    <t xml:space="preserve">Total Bonus Payout:</t>
  </si>
  <si>
    <t xml:space="preserve">Study the green formulas in Column H (Bonus Amount) — they combine IF, SUMIFS logic, and DATEDIF all in one. This is exactly the kind of formula you will write in a real MIS job!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</si>
</sst>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FE0E0"/>
      </patternFill>
    </fill>
    <fill>
      <patternFill patternType="solid">
        <fgColor rgb="FFC55A11"/>
        <bgColor rgb="FF993300"/>
      </patternFill>
    </fill>
    <fill>
      <patternFill patternType="solid">
        <fgColor rgb="FFFFFFFF"/>
        <bgColor rgb="FFFFF2CC"/>
      </patternFill>
    </fill>
    <fill>
      <patternFill patternType="solid">
        <fgColor rgb="FFFFE0E0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4"/>
  </cols>
  <sheetData>
    <row r="1" customFormat="false" ht="30" hidden="false" customHeight="true" outlineLevel="0" collapsed="false">
      <c r="B1" s="2" t="s">
        <v>0</v>
      </c>
      <c r="C1" s="2"/>
    </row>
    <row r="3" customFormat="false" ht="15" hidden="false" customHeight="true" outlineLevel="0" collapsed="false">
      <c r="B3" s="3" t="s">
        <v>1</v>
      </c>
      <c r="C3" s="3" t="s">
        <v>2</v>
      </c>
    </row>
    <row r="4" customFormat="false" ht="21.75" hidden="false" customHeight="true" outlineLevel="0" collapsed="false">
      <c r="B4" s="4" t="s">
        <v>3</v>
      </c>
      <c r="C4" s="5" t="s">
        <v>4</v>
      </c>
    </row>
    <row r="5" customFormat="false" ht="21.75" hidden="false" customHeight="true" outlineLevel="0" collapsed="false">
      <c r="B5" s="6" t="s">
        <v>5</v>
      </c>
      <c r="C5" s="5" t="s">
        <v>6</v>
      </c>
    </row>
    <row r="6" customFormat="false" ht="21.75" hidden="false" customHeight="true" outlineLevel="0" collapsed="false">
      <c r="B6" s="7" t="s">
        <v>7</v>
      </c>
      <c r="C6" s="5" t="s">
        <v>8</v>
      </c>
    </row>
    <row r="7" customFormat="false" ht="21.75" hidden="false" customHeight="true" outlineLevel="0" collapsed="false">
      <c r="B7" s="8" t="s">
        <v>9</v>
      </c>
      <c r="C7" s="5" t="s">
        <v>10</v>
      </c>
    </row>
    <row r="8" customFormat="false" ht="21.75" hidden="false" customHeight="true" outlineLevel="0" collapsed="false">
      <c r="B8" s="9" t="s">
        <v>11</v>
      </c>
      <c r="C8" s="5" t="s">
        <v>12</v>
      </c>
    </row>
    <row r="9" customFormat="false" ht="21.75" hidden="false" customHeight="true" outlineLevel="0" collapsed="false">
      <c r="B9" s="10" t="s">
        <v>13</v>
      </c>
      <c r="C9" s="5" t="s">
        <v>14</v>
      </c>
    </row>
    <row r="10" customFormat="false" ht="21.75" hidden="false" customHeight="true" outlineLevel="0" collapsed="false">
      <c r="B10" s="11" t="s">
        <v>15</v>
      </c>
      <c r="C10" s="5" t="s">
        <v>16</v>
      </c>
    </row>
    <row r="12" customFormat="false" ht="27.75" hidden="false" customHeight="true" outlineLevel="0" collapsed="false">
      <c r="B12" s="12" t="s">
        <v>17</v>
      </c>
      <c r="C12" s="12"/>
    </row>
    <row r="13" customFormat="false" ht="27.75" hidden="false" customHeight="true" outlineLevel="0" collapsed="false">
      <c r="B13" s="12" t="s">
        <v>18</v>
      </c>
      <c r="C13" s="12"/>
    </row>
  </sheetData>
  <mergeCells count="3">
    <mergeCell ref="B1:C1"/>
    <mergeCell ref="B12:C12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4" min="3" style="1" width="20"/>
    <col collapsed="false" customWidth="true" hidden="false" outlineLevel="0" max="5" min="5" style="1" width="22"/>
    <col collapsed="false" customWidth="true" hidden="false" outlineLevel="0" max="7" min="6" style="1" width="26"/>
    <col collapsed="false" customWidth="true" hidden="false" outlineLevel="0" max="8" min="8" style="1" width="4"/>
  </cols>
  <sheetData>
    <row r="1" customFormat="false" ht="24" hidden="false" customHeight="true" outlineLevel="0" collapsed="false">
      <c r="B1" s="13" t="s">
        <v>19</v>
      </c>
      <c r="C1" s="13"/>
      <c r="D1" s="13"/>
      <c r="E1" s="13"/>
      <c r="F1" s="13"/>
      <c r="G1" s="13"/>
    </row>
    <row r="3" customFormat="false" ht="24" hidden="false" customHeight="true" outlineLevel="0" collapsed="false">
      <c r="B3" s="14" t="s">
        <v>20</v>
      </c>
      <c r="C3" s="14"/>
      <c r="D3" s="14"/>
      <c r="E3" s="14"/>
      <c r="F3" s="14"/>
      <c r="G3" s="14"/>
    </row>
    <row r="4" customFormat="false" ht="31.5" hidden="false" customHeight="true" outlineLevel="0" collapsed="false">
      <c r="B4" s="15" t="s">
        <v>21</v>
      </c>
      <c r="C4" s="15"/>
      <c r="D4" s="15"/>
      <c r="E4" s="15"/>
      <c r="F4" s="15"/>
      <c r="G4" s="15"/>
    </row>
    <row r="5" customFormat="false" ht="15" hidden="false" customHeight="true" outlineLevel="0" collapsed="false">
      <c r="B5" s="7" t="s">
        <v>22</v>
      </c>
      <c r="C5" s="7" t="s">
        <v>23</v>
      </c>
    </row>
    <row r="6" customFormat="false" ht="15" hidden="false" customHeight="true" outlineLevel="0" collapsed="false">
      <c r="B6" s="16" t="s">
        <v>24</v>
      </c>
      <c r="C6" s="16" t="n">
        <v>4200</v>
      </c>
    </row>
    <row r="7" customFormat="false" ht="15" hidden="false" customHeight="true" outlineLevel="0" collapsed="false">
      <c r="B7" s="17" t="s">
        <v>25</v>
      </c>
      <c r="C7" s="17" t="n">
        <v>3800</v>
      </c>
    </row>
    <row r="8" customFormat="false" ht="15" hidden="false" customHeight="true" outlineLevel="0" collapsed="false">
      <c r="B8" s="16" t="s">
        <v>26</v>
      </c>
      <c r="C8" s="16" t="n">
        <v>5100</v>
      </c>
    </row>
    <row r="9" customFormat="false" ht="15" hidden="false" customHeight="true" outlineLevel="0" collapsed="false">
      <c r="B9" s="17" t="s">
        <v>27</v>
      </c>
      <c r="C9" s="17" t="n">
        <v>4700</v>
      </c>
    </row>
    <row r="10" customFormat="false" ht="15" hidden="false" customHeight="true" outlineLevel="0" collapsed="false">
      <c r="B10" s="16" t="s">
        <v>28</v>
      </c>
      <c r="C10" s="16" t="n">
        <v>6000</v>
      </c>
    </row>
    <row r="11" customFormat="false" ht="15" hidden="false" customHeight="true" outlineLevel="0" collapsed="false">
      <c r="B11" s="17" t="s">
        <v>29</v>
      </c>
      <c r="C11" s="17" t="n">
        <v>3200</v>
      </c>
    </row>
    <row r="12" customFormat="false" ht="15" hidden="false" customHeight="true" outlineLevel="0" collapsed="false">
      <c r="B12" s="16" t="s">
        <v>30</v>
      </c>
      <c r="C12" s="16" t="n">
        <v>4900</v>
      </c>
    </row>
    <row r="13" customFormat="false" ht="15" hidden="false" customHeight="true" outlineLevel="0" collapsed="false">
      <c r="B13" s="17" t="s">
        <v>31</v>
      </c>
      <c r="C13" s="17" t="n">
        <v>5500</v>
      </c>
    </row>
    <row r="14" customFormat="false" ht="15" hidden="false" customHeight="true" outlineLevel="0" collapsed="false">
      <c r="B14" s="16" t="s">
        <v>32</v>
      </c>
      <c r="C14" s="16" t="n">
        <v>4100</v>
      </c>
    </row>
    <row r="15" customFormat="false" ht="15" hidden="false" customHeight="true" outlineLevel="0" collapsed="false">
      <c r="B15" s="17" t="s">
        <v>33</v>
      </c>
      <c r="C15" s="17" t="n">
        <v>3600</v>
      </c>
    </row>
    <row r="16" customFormat="false" ht="15" hidden="false" customHeight="true" outlineLevel="0" collapsed="false">
      <c r="B16" s="16" t="s">
        <v>34</v>
      </c>
      <c r="C16" s="16" t="n">
        <v>4800</v>
      </c>
    </row>
    <row r="17" customFormat="false" ht="15" hidden="false" customHeight="true" outlineLevel="0" collapsed="false">
      <c r="B17" s="17" t="s">
        <v>35</v>
      </c>
      <c r="C17" s="17" t="n">
        <v>5200</v>
      </c>
    </row>
    <row r="18" customFormat="false" ht="15" hidden="false" customHeight="true" outlineLevel="0" collapsed="false">
      <c r="B18" s="16" t="s">
        <v>36</v>
      </c>
      <c r="C18" s="16" t="n">
        <v>6100</v>
      </c>
    </row>
    <row r="19" customFormat="false" ht="15" hidden="false" customHeight="true" outlineLevel="0" collapsed="false">
      <c r="B19" s="17" t="s">
        <v>37</v>
      </c>
      <c r="C19" s="17" t="n">
        <v>4400</v>
      </c>
    </row>
    <row r="20" customFormat="false" ht="15" hidden="false" customHeight="true" outlineLevel="0" collapsed="false">
      <c r="B20" s="16" t="s">
        <v>38</v>
      </c>
      <c r="C20" s="16" t="n">
        <v>3900</v>
      </c>
    </row>
    <row r="21" customFormat="false" ht="15" hidden="false" customHeight="true" outlineLevel="0" collapsed="false">
      <c r="B21" s="17" t="s">
        <v>39</v>
      </c>
      <c r="C21" s="17" t="n">
        <v>5700</v>
      </c>
    </row>
    <row r="22" customFormat="false" ht="15" hidden="false" customHeight="true" outlineLevel="0" collapsed="false">
      <c r="B22" s="16" t="s">
        <v>40</v>
      </c>
      <c r="C22" s="16" t="n">
        <v>4300</v>
      </c>
    </row>
    <row r="23" customFormat="false" ht="15" hidden="false" customHeight="true" outlineLevel="0" collapsed="false">
      <c r="B23" s="17" t="s">
        <v>41</v>
      </c>
      <c r="C23" s="17" t="n">
        <v>6200</v>
      </c>
    </row>
    <row r="24" customFormat="false" ht="15" hidden="false" customHeight="true" outlineLevel="0" collapsed="false">
      <c r="B24" s="16" t="s">
        <v>42</v>
      </c>
      <c r="C24" s="16" t="n">
        <v>5000</v>
      </c>
    </row>
    <row r="25" customFormat="false" ht="15" hidden="false" customHeight="true" outlineLevel="0" collapsed="false">
      <c r="B25" s="17" t="s">
        <v>43</v>
      </c>
      <c r="C25" s="17" t="n">
        <v>4600</v>
      </c>
    </row>
    <row r="26" customFormat="false" ht="15" hidden="false" customHeight="true" outlineLevel="0" collapsed="false">
      <c r="B26" s="16" t="s">
        <v>44</v>
      </c>
      <c r="C26" s="16" t="n">
        <v>5800</v>
      </c>
    </row>
    <row r="27" customFormat="false" ht="15" hidden="false" customHeight="true" outlineLevel="0" collapsed="false">
      <c r="B27" s="17" t="s">
        <v>45</v>
      </c>
      <c r="C27" s="17" t="n">
        <v>4200</v>
      </c>
    </row>
    <row r="28" customFormat="false" ht="15" hidden="false" customHeight="true" outlineLevel="0" collapsed="false">
      <c r="B28" s="16" t="s">
        <v>46</v>
      </c>
      <c r="C28" s="16" t="n">
        <v>3700</v>
      </c>
    </row>
    <row r="29" customFormat="false" ht="15" hidden="false" customHeight="true" outlineLevel="0" collapsed="false">
      <c r="B29" s="17" t="s">
        <v>47</v>
      </c>
      <c r="C29" s="17" t="n">
        <v>5100</v>
      </c>
    </row>
    <row r="30" customFormat="false" ht="15" hidden="false" customHeight="true" outlineLevel="0" collapsed="false">
      <c r="B30" s="16" t="s">
        <v>48</v>
      </c>
      <c r="C30" s="16" t="n">
        <v>4900</v>
      </c>
    </row>
    <row r="31" customFormat="false" ht="15" hidden="false" customHeight="true" outlineLevel="0" collapsed="false">
      <c r="B31" s="17" t="s">
        <v>49</v>
      </c>
      <c r="C31" s="17" t="n">
        <v>6300</v>
      </c>
    </row>
    <row r="32" customFormat="false" ht="15" hidden="false" customHeight="true" outlineLevel="0" collapsed="false">
      <c r="B32" s="16" t="s">
        <v>50</v>
      </c>
      <c r="C32" s="16" t="n">
        <v>5400</v>
      </c>
    </row>
    <row r="33" customFormat="false" ht="15" hidden="false" customHeight="true" outlineLevel="0" collapsed="false">
      <c r="B33" s="17" t="s">
        <v>51</v>
      </c>
      <c r="C33" s="17" t="n">
        <v>4700</v>
      </c>
    </row>
    <row r="34" customFormat="false" ht="15" hidden="false" customHeight="true" outlineLevel="0" collapsed="false">
      <c r="B34" s="16" t="s">
        <v>52</v>
      </c>
      <c r="C34" s="16" t="n">
        <v>3800</v>
      </c>
    </row>
    <row r="35" customFormat="false" ht="15" hidden="false" customHeight="true" outlineLevel="0" collapsed="false">
      <c r="B35" s="17" t="s">
        <v>53</v>
      </c>
      <c r="C35" s="17" t="n">
        <v>5200</v>
      </c>
    </row>
    <row r="36" customFormat="false" ht="15" hidden="false" customHeight="true" outlineLevel="0" collapsed="false">
      <c r="B36" s="16" t="s">
        <v>54</v>
      </c>
      <c r="C36" s="16" t="n">
        <v>4100</v>
      </c>
    </row>
    <row r="37" customFormat="false" ht="15" hidden="false" customHeight="true" outlineLevel="0" collapsed="false">
      <c r="B37" s="7" t="s">
        <v>55</v>
      </c>
      <c r="C37" s="18" t="n">
        <f aca="false">SUM(C6:C36)</f>
        <v>148500</v>
      </c>
    </row>
    <row r="39" customFormat="false" ht="31.5" hidden="false" customHeight="true" outlineLevel="0" collapsed="false">
      <c r="B39" s="15" t="s">
        <v>56</v>
      </c>
      <c r="C39" s="15"/>
      <c r="D39" s="15"/>
      <c r="E39" s="15"/>
      <c r="F39" s="15"/>
      <c r="G39" s="15"/>
    </row>
    <row r="40" customFormat="false" ht="15" hidden="false" customHeight="true" outlineLevel="0" collapsed="false">
      <c r="B40" s="7" t="s">
        <v>57</v>
      </c>
      <c r="C40" s="7" t="s">
        <v>58</v>
      </c>
      <c r="D40" s="7" t="s">
        <v>59</v>
      </c>
    </row>
    <row r="41" customFormat="false" ht="15" hidden="false" customHeight="true" outlineLevel="0" collapsed="false">
      <c r="B41" s="16" t="n">
        <v>5000</v>
      </c>
      <c r="C41" s="16" t="n">
        <v>7500</v>
      </c>
      <c r="D41" s="16" t="n">
        <v>3200</v>
      </c>
    </row>
    <row r="42" customFormat="false" ht="15" hidden="false" customHeight="true" outlineLevel="0" collapsed="false">
      <c r="B42" s="7" t="s">
        <v>60</v>
      </c>
      <c r="C42" s="18" t="n">
        <f aca="false">SUM(B41:D41)</f>
        <v>15700</v>
      </c>
    </row>
    <row r="43" customFormat="false" ht="27.75" hidden="false" customHeight="true" outlineLevel="0" collapsed="false">
      <c r="B43" s="12" t="s">
        <v>61</v>
      </c>
      <c r="C43" s="12"/>
      <c r="D43" s="12"/>
      <c r="E43" s="12"/>
      <c r="F43" s="12"/>
      <c r="G43" s="12"/>
    </row>
    <row r="45" customFormat="false" ht="24" hidden="false" customHeight="true" outlineLevel="0" collapsed="false">
      <c r="B45" s="14" t="s">
        <v>62</v>
      </c>
      <c r="C45" s="14"/>
      <c r="D45" s="14"/>
      <c r="E45" s="14"/>
      <c r="F45" s="14"/>
      <c r="G45" s="14"/>
    </row>
    <row r="46" customFormat="false" ht="31.5" hidden="false" customHeight="true" outlineLevel="0" collapsed="false">
      <c r="B46" s="15" t="s">
        <v>63</v>
      </c>
      <c r="C46" s="15"/>
      <c r="D46" s="15"/>
      <c r="E46" s="15"/>
      <c r="F46" s="15"/>
      <c r="G46" s="15"/>
    </row>
    <row r="47" customFormat="false" ht="15" hidden="false" customHeight="true" outlineLevel="0" collapsed="false">
      <c r="B47" s="7" t="s">
        <v>64</v>
      </c>
      <c r="C47" s="7" t="s">
        <v>65</v>
      </c>
      <c r="D47" s="7" t="s">
        <v>66</v>
      </c>
      <c r="E47" s="7" t="s">
        <v>67</v>
      </c>
      <c r="F47" s="7" t="s">
        <v>68</v>
      </c>
    </row>
    <row r="48" customFormat="false" ht="15" hidden="false" customHeight="true" outlineLevel="0" collapsed="false">
      <c r="B48" s="16" t="n">
        <v>4.2</v>
      </c>
      <c r="C48" s="16" t="n">
        <v>3.8</v>
      </c>
      <c r="D48" s="16" t="n">
        <v>4.5</v>
      </c>
      <c r="E48" s="16" t="n">
        <v>4</v>
      </c>
      <c r="F48" s="16" t="n">
        <v>3.9</v>
      </c>
    </row>
    <row r="49" customFormat="false" ht="15" hidden="false" customHeight="true" outlineLevel="0" collapsed="false">
      <c r="B49" s="7" t="s">
        <v>69</v>
      </c>
      <c r="C49" s="18" t="n">
        <f aca="false">AVERAGE(B48:F48)</f>
        <v>4.08</v>
      </c>
    </row>
    <row r="51" customFormat="false" ht="31.5" hidden="false" customHeight="true" outlineLevel="0" collapsed="false">
      <c r="B51" s="15" t="s">
        <v>70</v>
      </c>
      <c r="C51" s="15"/>
      <c r="D51" s="15"/>
      <c r="E51" s="15"/>
      <c r="F51" s="15"/>
      <c r="G51" s="15"/>
    </row>
    <row r="52" customFormat="false" ht="15" hidden="false" customHeight="true" outlineLevel="0" collapsed="false">
      <c r="B52" s="7" t="s">
        <v>22</v>
      </c>
      <c r="C52" s="7" t="s">
        <v>71</v>
      </c>
    </row>
    <row r="53" customFormat="false" ht="15" hidden="false" customHeight="true" outlineLevel="0" collapsed="false">
      <c r="B53" s="16" t="s">
        <v>24</v>
      </c>
      <c r="C53" s="16" t="n">
        <v>1200</v>
      </c>
    </row>
    <row r="54" customFormat="false" ht="15" hidden="false" customHeight="true" outlineLevel="0" collapsed="false">
      <c r="B54" s="17" t="s">
        <v>25</v>
      </c>
      <c r="C54" s="17" t="n">
        <v>980</v>
      </c>
    </row>
    <row r="55" customFormat="false" ht="15" hidden="false" customHeight="true" outlineLevel="0" collapsed="false">
      <c r="B55" s="16" t="s">
        <v>26</v>
      </c>
      <c r="C55" s="16" t="n">
        <v>1450</v>
      </c>
    </row>
    <row r="56" customFormat="false" ht="15" hidden="false" customHeight="true" outlineLevel="0" collapsed="false">
      <c r="B56" s="17" t="s">
        <v>27</v>
      </c>
      <c r="C56" s="17" t="n">
        <v>1100</v>
      </c>
    </row>
    <row r="57" customFormat="false" ht="15" hidden="false" customHeight="true" outlineLevel="0" collapsed="false">
      <c r="B57" s="16" t="s">
        <v>28</v>
      </c>
      <c r="C57" s="16" t="n">
        <v>1320</v>
      </c>
    </row>
    <row r="58" customFormat="false" ht="15" hidden="false" customHeight="true" outlineLevel="0" collapsed="false">
      <c r="B58" s="17" t="s">
        <v>29</v>
      </c>
      <c r="C58" s="17" t="n">
        <v>890</v>
      </c>
    </row>
    <row r="59" customFormat="false" ht="15" hidden="false" customHeight="true" outlineLevel="0" collapsed="false">
      <c r="B59" s="16" t="s">
        <v>30</v>
      </c>
      <c r="C59" s="16" t="n">
        <v>1560</v>
      </c>
    </row>
    <row r="60" customFormat="false" ht="15" hidden="false" customHeight="true" outlineLevel="0" collapsed="false">
      <c r="B60" s="17" t="s">
        <v>31</v>
      </c>
      <c r="C60" s="17" t="n">
        <v>1230</v>
      </c>
    </row>
    <row r="61" customFormat="false" ht="15" hidden="false" customHeight="true" outlineLevel="0" collapsed="false">
      <c r="B61" s="16" t="s">
        <v>32</v>
      </c>
      <c r="C61" s="16" t="n">
        <v>1010</v>
      </c>
    </row>
    <row r="62" customFormat="false" ht="15" hidden="false" customHeight="true" outlineLevel="0" collapsed="false">
      <c r="B62" s="17" t="s">
        <v>33</v>
      </c>
      <c r="C62" s="17" t="n">
        <v>1400</v>
      </c>
    </row>
    <row r="63" customFormat="false" ht="15" hidden="false" customHeight="true" outlineLevel="0" collapsed="false">
      <c r="B63" s="7" t="s">
        <v>72</v>
      </c>
      <c r="C63" s="18" t="n">
        <f aca="false">AVERAGE(C53:C62)</f>
        <v>1214</v>
      </c>
    </row>
    <row r="66" customFormat="false" ht="24" hidden="false" customHeight="true" outlineLevel="0" collapsed="false">
      <c r="B66" s="14" t="s">
        <v>73</v>
      </c>
      <c r="C66" s="14"/>
      <c r="D66" s="14"/>
      <c r="E66" s="14"/>
      <c r="F66" s="14"/>
      <c r="G66" s="14"/>
    </row>
    <row r="67" customFormat="false" ht="31.5" hidden="false" customHeight="true" outlineLevel="0" collapsed="false">
      <c r="B67" s="15" t="s">
        <v>74</v>
      </c>
      <c r="C67" s="15"/>
      <c r="D67" s="15"/>
      <c r="E67" s="15"/>
      <c r="F67" s="15"/>
      <c r="G67" s="15"/>
    </row>
    <row r="68" customFormat="false" ht="15" hidden="false" customHeight="true" outlineLevel="0" collapsed="false">
      <c r="B68" s="7" t="s">
        <v>75</v>
      </c>
      <c r="C68" s="7" t="s">
        <v>76</v>
      </c>
      <c r="D68" s="7" t="s">
        <v>77</v>
      </c>
    </row>
    <row r="69" customFormat="false" ht="15" hidden="false" customHeight="true" outlineLevel="0" collapsed="false">
      <c r="B69" s="16" t="n">
        <v>1</v>
      </c>
      <c r="C69" s="16" t="n">
        <v>12000</v>
      </c>
      <c r="D69" s="16"/>
    </row>
    <row r="70" customFormat="false" ht="15" hidden="false" customHeight="true" outlineLevel="0" collapsed="false">
      <c r="B70" s="17" t="n">
        <v>2</v>
      </c>
      <c r="C70" s="17"/>
      <c r="D70" s="17" t="s">
        <v>78</v>
      </c>
    </row>
    <row r="71" customFormat="false" ht="15" hidden="false" customHeight="true" outlineLevel="0" collapsed="false">
      <c r="B71" s="16" t="n">
        <v>3</v>
      </c>
      <c r="C71" s="16" t="n">
        <v>9500</v>
      </c>
      <c r="D71" s="16"/>
    </row>
    <row r="72" customFormat="false" ht="15" hidden="false" customHeight="true" outlineLevel="0" collapsed="false">
      <c r="B72" s="17" t="n">
        <v>4</v>
      </c>
      <c r="C72" s="17" t="n">
        <v>15000</v>
      </c>
      <c r="D72" s="17"/>
    </row>
    <row r="73" customFormat="false" ht="15" hidden="false" customHeight="true" outlineLevel="0" collapsed="false">
      <c r="B73" s="16" t="n">
        <v>5</v>
      </c>
      <c r="C73" s="16"/>
      <c r="D73" s="16" t="s">
        <v>78</v>
      </c>
    </row>
    <row r="74" customFormat="false" ht="15" hidden="false" customHeight="true" outlineLevel="0" collapsed="false">
      <c r="B74" s="17" t="n">
        <v>6</v>
      </c>
      <c r="C74" s="17" t="n">
        <v>11000</v>
      </c>
      <c r="D74" s="17"/>
    </row>
    <row r="75" customFormat="false" ht="15" hidden="false" customHeight="true" outlineLevel="0" collapsed="false">
      <c r="B75" s="16" t="n">
        <v>7</v>
      </c>
      <c r="C75" s="16" t="n">
        <v>8000</v>
      </c>
      <c r="D75" s="16"/>
    </row>
    <row r="76" customFormat="false" ht="15" hidden="false" customHeight="true" outlineLevel="0" collapsed="false">
      <c r="B76" s="17" t="n">
        <v>8</v>
      </c>
      <c r="C76" s="17"/>
      <c r="D76" s="17" t="s">
        <v>78</v>
      </c>
    </row>
    <row r="77" customFormat="false" ht="15" hidden="false" customHeight="true" outlineLevel="0" collapsed="false">
      <c r="B77" s="16" t="n">
        <v>9</v>
      </c>
      <c r="C77" s="16" t="n">
        <v>13500</v>
      </c>
      <c r="D77" s="16"/>
    </row>
    <row r="78" customFormat="false" ht="15" hidden="false" customHeight="true" outlineLevel="0" collapsed="false">
      <c r="B78" s="17" t="n">
        <v>10</v>
      </c>
      <c r="C78" s="17" t="n">
        <v>10000</v>
      </c>
      <c r="D78" s="17"/>
    </row>
    <row r="79" customFormat="false" ht="15" hidden="false" customHeight="true" outlineLevel="0" collapsed="false">
      <c r="B79" s="7" t="s">
        <v>79</v>
      </c>
      <c r="C79" s="18" t="n">
        <f aca="false">COUNT(C69:C78)</f>
        <v>7</v>
      </c>
    </row>
    <row r="80" customFormat="false" ht="27.75" hidden="false" customHeight="true" outlineLevel="0" collapsed="false">
      <c r="B80" s="12" t="s">
        <v>80</v>
      </c>
      <c r="C80" s="12"/>
      <c r="D80" s="12"/>
      <c r="E80" s="12"/>
      <c r="F80" s="12"/>
      <c r="G80" s="12"/>
    </row>
    <row r="82" customFormat="false" ht="24" hidden="false" customHeight="true" outlineLevel="0" collapsed="false">
      <c r="B82" s="14" t="s">
        <v>81</v>
      </c>
      <c r="C82" s="14"/>
      <c r="D82" s="14"/>
      <c r="E82" s="14"/>
      <c r="F82" s="14"/>
      <c r="G82" s="14"/>
    </row>
    <row r="83" customFormat="false" ht="31.5" hidden="false" customHeight="true" outlineLevel="0" collapsed="false">
      <c r="B83" s="15" t="s">
        <v>82</v>
      </c>
      <c r="C83" s="15"/>
      <c r="D83" s="15"/>
      <c r="E83" s="15"/>
      <c r="F83" s="15"/>
      <c r="G83" s="15"/>
    </row>
    <row r="84" customFormat="false" ht="15" hidden="false" customHeight="true" outlineLevel="0" collapsed="false">
      <c r="B84" s="7" t="s">
        <v>83</v>
      </c>
      <c r="C84" s="7" t="s">
        <v>23</v>
      </c>
      <c r="D84" s="7" t="s">
        <v>84</v>
      </c>
      <c r="E84" s="7" t="s">
        <v>85</v>
      </c>
    </row>
    <row r="85" customFormat="false" ht="15" hidden="false" customHeight="true" outlineLevel="0" collapsed="false">
      <c r="B85" s="16" t="s">
        <v>86</v>
      </c>
      <c r="C85" s="16" t="n">
        <v>55000</v>
      </c>
      <c r="D85" s="16" t="n">
        <v>50000</v>
      </c>
      <c r="E85" s="18" t="str">
        <f aca="false">IF(C85&gt;=D85,"Target Met","Below Target")</f>
        <v>Target Met</v>
      </c>
    </row>
    <row r="86" customFormat="false" ht="15" hidden="false" customHeight="true" outlineLevel="0" collapsed="false">
      <c r="B86" s="17" t="s">
        <v>87</v>
      </c>
      <c r="C86" s="17" t="n">
        <v>42000</v>
      </c>
      <c r="D86" s="17" t="n">
        <v>50000</v>
      </c>
      <c r="E86" s="18" t="str">
        <f aca="false">IF(C86&gt;=D86,"Target Met","Below Target")</f>
        <v>Below Target</v>
      </c>
    </row>
    <row r="87" customFormat="false" ht="15" hidden="false" customHeight="true" outlineLevel="0" collapsed="false">
      <c r="B87" s="16" t="s">
        <v>88</v>
      </c>
      <c r="C87" s="16" t="n">
        <v>60000</v>
      </c>
      <c r="D87" s="16" t="n">
        <v>50000</v>
      </c>
      <c r="E87" s="18" t="str">
        <f aca="false">IF(C87&gt;=D87,"Target Met","Below Target")</f>
        <v>Target Met</v>
      </c>
    </row>
    <row r="88" customFormat="false" ht="15" hidden="false" customHeight="true" outlineLevel="0" collapsed="false">
      <c r="B88" s="17" t="s">
        <v>89</v>
      </c>
      <c r="C88" s="17" t="n">
        <v>38000</v>
      </c>
      <c r="D88" s="17" t="n">
        <v>50000</v>
      </c>
      <c r="E88" s="18" t="str">
        <f aca="false">IF(C88&gt;=D88,"Target Met","Below Target")</f>
        <v>Below Target</v>
      </c>
    </row>
    <row r="89" customFormat="false" ht="15" hidden="false" customHeight="true" outlineLevel="0" collapsed="false">
      <c r="B89" s="16" t="s">
        <v>90</v>
      </c>
      <c r="C89" s="16" t="n">
        <v>51000</v>
      </c>
      <c r="D89" s="16" t="n">
        <v>50000</v>
      </c>
      <c r="E89" s="18" t="str">
        <f aca="false">IF(C89&gt;=D89,"Target Met","Below Target")</f>
        <v>Target Met</v>
      </c>
    </row>
    <row r="91" customFormat="false" ht="31.5" hidden="false" customHeight="true" outlineLevel="0" collapsed="false">
      <c r="B91" s="15" t="s">
        <v>91</v>
      </c>
      <c r="C91" s="15"/>
      <c r="D91" s="15"/>
      <c r="E91" s="15"/>
      <c r="F91" s="15"/>
      <c r="G91" s="15"/>
    </row>
    <row r="92" customFormat="false" ht="15" hidden="false" customHeight="true" outlineLevel="0" collapsed="false">
      <c r="B92" s="7" t="s">
        <v>92</v>
      </c>
      <c r="C92" s="7" t="s">
        <v>93</v>
      </c>
      <c r="D92" s="7" t="s">
        <v>94</v>
      </c>
      <c r="E92" s="7" t="s">
        <v>95</v>
      </c>
    </row>
    <row r="93" customFormat="false" ht="15" hidden="false" customHeight="true" outlineLevel="0" collapsed="false">
      <c r="B93" s="16" t="s">
        <v>96</v>
      </c>
      <c r="C93" s="16" t="n">
        <v>85</v>
      </c>
      <c r="D93" s="18" t="str">
        <f aca="false">IF(C93&gt;=60,"Pass","Fail")</f>
        <v>Pass</v>
      </c>
      <c r="E93" s="18" t="str">
        <f aca="false">IF(C93&gt;=90,"A",IF(C93&gt;=75,"B",IF(C93&gt;=60,"C","Fail")))</f>
        <v>B</v>
      </c>
    </row>
    <row r="94" customFormat="false" ht="15" hidden="false" customHeight="true" outlineLevel="0" collapsed="false">
      <c r="B94" s="17" t="s">
        <v>97</v>
      </c>
      <c r="C94" s="17" t="n">
        <v>52</v>
      </c>
      <c r="D94" s="18" t="str">
        <f aca="false">IF(C94&gt;=60,"Pass","Fail")</f>
        <v>Fail</v>
      </c>
      <c r="E94" s="18" t="str">
        <f aca="false">IF(C94&gt;=90,"A",IF(C94&gt;=75,"B",IF(C94&gt;=60,"C","Fail")))</f>
        <v>Fail</v>
      </c>
    </row>
    <row r="95" customFormat="false" ht="15" hidden="false" customHeight="true" outlineLevel="0" collapsed="false">
      <c r="B95" s="16" t="s">
        <v>98</v>
      </c>
      <c r="C95" s="16" t="n">
        <v>92</v>
      </c>
      <c r="D95" s="18" t="str">
        <f aca="false">IF(C95&gt;=60,"Pass","Fail")</f>
        <v>Pass</v>
      </c>
      <c r="E95" s="18" t="str">
        <f aca="false">IF(C95&gt;=90,"A",IF(C95&gt;=75,"B",IF(C95&gt;=60,"C","Fail")))</f>
        <v>A</v>
      </c>
    </row>
    <row r="96" customFormat="false" ht="15" hidden="false" customHeight="true" outlineLevel="0" collapsed="false">
      <c r="B96" s="17" t="s">
        <v>99</v>
      </c>
      <c r="C96" s="17" t="n">
        <v>45</v>
      </c>
      <c r="D96" s="18" t="str">
        <f aca="false">IF(C96&gt;=60,"Pass","Fail")</f>
        <v>Fail</v>
      </c>
      <c r="E96" s="18" t="str">
        <f aca="false">IF(C96&gt;=90,"A",IF(C96&gt;=75,"B",IF(C96&gt;=60,"C","Fail")))</f>
        <v>Fail</v>
      </c>
    </row>
    <row r="97" customFormat="false" ht="15" hidden="false" customHeight="true" outlineLevel="0" collapsed="false">
      <c r="B97" s="16" t="s">
        <v>100</v>
      </c>
      <c r="C97" s="16" t="n">
        <v>67</v>
      </c>
      <c r="D97" s="18" t="str">
        <f aca="false">IF(C97&gt;=60,"Pass","Fail")</f>
        <v>Pass</v>
      </c>
      <c r="E97" s="18" t="str">
        <f aca="false">IF(C97&gt;=90,"A",IF(C97&gt;=75,"B",IF(C97&gt;=60,"C","Fail")))</f>
        <v>C</v>
      </c>
    </row>
    <row r="98" customFormat="false" ht="15" hidden="false" customHeight="true" outlineLevel="0" collapsed="false">
      <c r="B98" s="17" t="s">
        <v>101</v>
      </c>
      <c r="C98" s="17" t="n">
        <v>78</v>
      </c>
      <c r="D98" s="18" t="str">
        <f aca="false">IF(C98&gt;=60,"Pass","Fail")</f>
        <v>Pass</v>
      </c>
      <c r="E98" s="18" t="str">
        <f aca="false">IF(C98&gt;=90,"A",IF(C98&gt;=75,"B",IF(C98&gt;=60,"C","Fail")))</f>
        <v>B</v>
      </c>
    </row>
    <row r="99" customFormat="false" ht="27.75" hidden="false" customHeight="true" outlineLevel="0" collapsed="false">
      <c r="B99" s="12" t="s">
        <v>102</v>
      </c>
      <c r="C99" s="12"/>
      <c r="D99" s="12"/>
      <c r="E99" s="12"/>
      <c r="F99" s="12"/>
      <c r="G99" s="12"/>
    </row>
    <row r="101" customFormat="false" ht="24" hidden="false" customHeight="true" outlineLevel="0" collapsed="false">
      <c r="B101" s="14" t="s">
        <v>103</v>
      </c>
      <c r="C101" s="14"/>
      <c r="D101" s="14"/>
      <c r="E101" s="14"/>
      <c r="F101" s="14"/>
      <c r="G101" s="14"/>
    </row>
    <row r="102" customFormat="false" ht="31.5" hidden="false" customHeight="true" outlineLevel="0" collapsed="false">
      <c r="B102" s="15" t="s">
        <v>104</v>
      </c>
      <c r="C102" s="15"/>
      <c r="D102" s="15"/>
      <c r="E102" s="15"/>
      <c r="F102" s="15"/>
      <c r="G102" s="15"/>
    </row>
    <row r="103" customFormat="false" ht="23.25" hidden="false" customHeight="true" outlineLevel="0" collapsed="false">
      <c r="B103" s="7" t="s">
        <v>105</v>
      </c>
      <c r="C103" s="7" t="s">
        <v>106</v>
      </c>
      <c r="D103" s="7" t="s">
        <v>107</v>
      </c>
      <c r="E103" s="7" t="s">
        <v>108</v>
      </c>
    </row>
    <row r="104" customFormat="false" ht="15" hidden="false" customHeight="true" outlineLevel="0" collapsed="false">
      <c r="B104" s="16" t="s">
        <v>86</v>
      </c>
      <c r="C104" s="16" t="s">
        <v>109</v>
      </c>
      <c r="D104" s="18" t="str">
        <f aca="false">CONCATENATE(B104," ",C104)</f>
        <v>Ahmed Khan</v>
      </c>
      <c r="E104" s="18" t="str">
        <f aca="false">B104&amp;" "&amp;C104</f>
        <v>Ahmed Khan</v>
      </c>
    </row>
    <row r="105" customFormat="false" ht="15" hidden="false" customHeight="true" outlineLevel="0" collapsed="false">
      <c r="B105" s="17" t="s">
        <v>87</v>
      </c>
      <c r="C105" s="17" t="s">
        <v>96</v>
      </c>
      <c r="D105" s="18" t="str">
        <f aca="false">CONCATENATE(B105," ",C105)</f>
        <v>Sara Ali</v>
      </c>
      <c r="E105" s="18" t="str">
        <f aca="false">B105&amp;" "&amp;C105</f>
        <v>Sara Ali</v>
      </c>
    </row>
    <row r="106" customFormat="false" ht="15" hidden="false" customHeight="true" outlineLevel="0" collapsed="false">
      <c r="B106" s="16" t="s">
        <v>88</v>
      </c>
      <c r="C106" s="16" t="s">
        <v>110</v>
      </c>
      <c r="D106" s="18" t="str">
        <f aca="false">CONCATENATE(B106," ",C106)</f>
        <v>Zain Malik</v>
      </c>
      <c r="E106" s="18" t="str">
        <f aca="false">B106&amp;" "&amp;C106</f>
        <v>Zain Malik</v>
      </c>
    </row>
    <row r="107" customFormat="false" ht="15" hidden="false" customHeight="true" outlineLevel="0" collapsed="false">
      <c r="B107" s="17" t="s">
        <v>89</v>
      </c>
      <c r="C107" s="17" t="s">
        <v>111</v>
      </c>
      <c r="D107" s="18" t="str">
        <f aca="false">CONCATENATE(B107," ",C107)</f>
        <v>Fatima Noor</v>
      </c>
      <c r="E107" s="18" t="str">
        <f aca="false">B107&amp;" "&amp;C107</f>
        <v>Fatima Noor</v>
      </c>
    </row>
    <row r="109" customFormat="false" ht="15" hidden="false" customHeight="true" outlineLevel="0" collapsed="false">
      <c r="B109" s="7" t="s">
        <v>112</v>
      </c>
      <c r="C109" s="7" t="s">
        <v>113</v>
      </c>
      <c r="D109" s="7" t="s">
        <v>114</v>
      </c>
    </row>
    <row r="110" customFormat="false" ht="15" hidden="false" customHeight="true" outlineLevel="0" collapsed="false">
      <c r="B110" s="16" t="s">
        <v>115</v>
      </c>
      <c r="C110" s="16" t="s">
        <v>116</v>
      </c>
      <c r="D110" s="18" t="str">
        <f aca="false">B110&amp;"-"&amp;C110</f>
        <v>PRD-1001</v>
      </c>
    </row>
    <row r="111" customFormat="false" ht="15" hidden="false" customHeight="true" outlineLevel="0" collapsed="false">
      <c r="B111" s="17" t="s">
        <v>115</v>
      </c>
      <c r="C111" s="17" t="s">
        <v>117</v>
      </c>
      <c r="D111" s="18" t="str">
        <f aca="false">B111&amp;"-"&amp;C111</f>
        <v>PRD-1002</v>
      </c>
    </row>
    <row r="112" customFormat="false" ht="15" hidden="false" customHeight="true" outlineLevel="0" collapsed="false">
      <c r="B112" s="16" t="s">
        <v>115</v>
      </c>
      <c r="C112" s="16" t="s">
        <v>118</v>
      </c>
      <c r="D112" s="18" t="str">
        <f aca="false">B112&amp;"-"&amp;C112</f>
        <v>PRD-1003</v>
      </c>
    </row>
    <row r="115" customFormat="false" ht="24" hidden="false" customHeight="true" outlineLevel="0" collapsed="false">
      <c r="B115" s="14" t="s">
        <v>119</v>
      </c>
      <c r="C115" s="14"/>
      <c r="D115" s="14"/>
      <c r="E115" s="14"/>
      <c r="F115" s="14"/>
      <c r="G115" s="14"/>
    </row>
    <row r="116" customFormat="false" ht="31.5" hidden="false" customHeight="true" outlineLevel="0" collapsed="false">
      <c r="B116" s="15" t="s">
        <v>120</v>
      </c>
      <c r="C116" s="15"/>
      <c r="D116" s="15"/>
      <c r="E116" s="15"/>
      <c r="F116" s="15"/>
      <c r="G116" s="15"/>
    </row>
    <row r="117" customFormat="false" ht="15" hidden="false" customHeight="true" outlineLevel="0" collapsed="false">
      <c r="B117" s="7" t="s">
        <v>121</v>
      </c>
      <c r="C117" s="7" t="s">
        <v>122</v>
      </c>
      <c r="D117" s="7" t="s">
        <v>123</v>
      </c>
      <c r="E117" s="7" t="s">
        <v>124</v>
      </c>
      <c r="F117" s="7" t="s">
        <v>125</v>
      </c>
    </row>
    <row r="118" customFormat="false" ht="15" hidden="false" customHeight="true" outlineLevel="0" collapsed="false">
      <c r="B118" s="16" t="s">
        <v>126</v>
      </c>
      <c r="C118" s="18" t="str">
        <f aca="false">UPPER(B118)</f>
        <v>ALI RAZA</v>
      </c>
      <c r="D118" s="18" t="str">
        <f aca="false">LOWER(B118)</f>
        <v>ali raza</v>
      </c>
      <c r="E118" s="18" t="str">
        <f aca="false">PROPER(B118)</f>
        <v>Ali Raza</v>
      </c>
      <c r="F118" s="18" t="n">
        <f aca="false">LEN(B118)</f>
        <v>8</v>
      </c>
    </row>
    <row r="119" customFormat="false" ht="15" hidden="false" customHeight="true" outlineLevel="0" collapsed="false">
      <c r="B119" s="17" t="s">
        <v>127</v>
      </c>
      <c r="C119" s="18" t="str">
        <f aca="false">UPPER(B119)</f>
        <v>SARA AHMED</v>
      </c>
      <c r="D119" s="18" t="str">
        <f aca="false">LOWER(B119)</f>
        <v>sara ahmed</v>
      </c>
      <c r="E119" s="18" t="str">
        <f aca="false">PROPER(B119)</f>
        <v>Sara Ahmed</v>
      </c>
      <c r="F119" s="18" t="n">
        <f aca="false">LEN(B119)</f>
        <v>10</v>
      </c>
    </row>
    <row r="120" customFormat="false" ht="15" hidden="false" customHeight="true" outlineLevel="0" collapsed="false">
      <c r="B120" s="16" t="s">
        <v>128</v>
      </c>
      <c r="C120" s="18" t="str">
        <f aca="false">UPPER(B120)</f>
        <v>KARACHI</v>
      </c>
      <c r="D120" s="18" t="str">
        <f aca="false">LOWER(B120)</f>
        <v>karachi</v>
      </c>
      <c r="E120" s="18" t="str">
        <f aca="false">PROPER(B120)</f>
        <v>Karachi</v>
      </c>
      <c r="F120" s="18" t="n">
        <f aca="false">LEN(B120)</f>
        <v>7</v>
      </c>
    </row>
    <row r="121" customFormat="false" ht="23.25" hidden="false" customHeight="true" outlineLevel="0" collapsed="false">
      <c r="B121" s="17" t="s">
        <v>129</v>
      </c>
      <c r="C121" s="18" t="str">
        <f aca="false">UPPER(B121)</f>
        <v>ZAIN.MALIK@COMPANY.COM</v>
      </c>
      <c r="D121" s="18" t="str">
        <f aca="false">LOWER(B121)</f>
        <v>zain.malik@company.com</v>
      </c>
      <c r="E121" s="18" t="str">
        <f aca="false">PROPER(B121)</f>
        <v>Zain.Malik@Company.Com</v>
      </c>
      <c r="F121" s="18" t="n">
        <f aca="false">LEN(B121)</f>
        <v>22</v>
      </c>
    </row>
    <row r="122" customFormat="false" ht="15" hidden="false" customHeight="true" outlineLevel="0" collapsed="false">
      <c r="B122" s="16" t="s">
        <v>130</v>
      </c>
      <c r="C122" s="18" t="str">
        <f aca="false">UPPER(B122)</f>
        <v>0300-1234567</v>
      </c>
      <c r="D122" s="18" t="str">
        <f aca="false">LOWER(B122)</f>
        <v>0300-1234567</v>
      </c>
      <c r="E122" s="18" t="str">
        <f aca="false">PROPER(B122)</f>
        <v>0300-1234567</v>
      </c>
      <c r="F122" s="18" t="n">
        <f aca="false">LEN(B122)</f>
        <v>12</v>
      </c>
    </row>
    <row r="123" customFormat="false" ht="15" hidden="false" customHeight="true" outlineLevel="0" collapsed="false">
      <c r="B123" s="17" t="s">
        <v>131</v>
      </c>
      <c r="C123" s="18" t="str">
        <f aca="false">UPPER(B123)</f>
        <v>  EXTRA SPACES  </v>
      </c>
      <c r="D123" s="18" t="str">
        <f aca="false">LOWER(B123)</f>
        <v>  extra spaces  </v>
      </c>
      <c r="E123" s="18" t="str">
        <f aca="false">PROPER(B123)</f>
        <v>  Extra Spaces  </v>
      </c>
      <c r="F123" s="18" t="n">
        <f aca="false">LEN(B123)</f>
        <v>16</v>
      </c>
    </row>
    <row r="124" customFormat="false" ht="27.75" hidden="false" customHeight="true" outlineLevel="0" collapsed="false">
      <c r="B124" s="12" t="s">
        <v>132</v>
      </c>
      <c r="C124" s="12"/>
      <c r="D124" s="12"/>
      <c r="E124" s="12"/>
      <c r="F124" s="12"/>
      <c r="G124" s="12"/>
    </row>
    <row r="126" customFormat="false" ht="24" hidden="false" customHeight="true" outlineLevel="0" collapsed="false">
      <c r="B126" s="19" t="s">
        <v>133</v>
      </c>
      <c r="C126" s="19"/>
      <c r="D126" s="19"/>
      <c r="E126" s="19"/>
      <c r="F126" s="19"/>
      <c r="G126" s="19"/>
    </row>
    <row r="127" customFormat="false" ht="27.75" hidden="false" customHeight="true" outlineLevel="0" collapsed="false">
      <c r="B127" s="12" t="s">
        <v>134</v>
      </c>
      <c r="C127" s="12"/>
      <c r="D127" s="12"/>
      <c r="E127" s="12"/>
      <c r="F127" s="12"/>
      <c r="G127" s="12"/>
    </row>
    <row r="128" customFormat="false" ht="15" hidden="false" customHeight="true" outlineLevel="0" collapsed="false">
      <c r="B128" s="7" t="s">
        <v>135</v>
      </c>
      <c r="C128" s="7" t="s">
        <v>136</v>
      </c>
      <c r="D128" s="7" t="s">
        <v>137</v>
      </c>
      <c r="E128" s="7" t="s">
        <v>138</v>
      </c>
      <c r="F128" s="7" t="s">
        <v>139</v>
      </c>
      <c r="G128" s="7" t="s">
        <v>140</v>
      </c>
    </row>
    <row r="129" customFormat="false" ht="15" hidden="false" customHeight="true" outlineLevel="0" collapsed="false">
      <c r="B129" s="16" t="s">
        <v>141</v>
      </c>
      <c r="C129" s="16" t="n">
        <v>28</v>
      </c>
      <c r="D129" s="16" t="n">
        <v>26</v>
      </c>
      <c r="E129" s="18" t="str">
        <f aca="false">PROPER(B129)</f>
        <v>Ahmed Khan</v>
      </c>
      <c r="F129" s="18" t="str">
        <f aca="false">IF(C129&gt;=D129,"Good","Warning")</f>
        <v>Good</v>
      </c>
      <c r="G129" s="18" t="str">
        <f aca="false">ROUND(C129/D129*100,1)&amp;"%"</f>
        <v>107.7%</v>
      </c>
    </row>
    <row r="130" customFormat="false" ht="15" hidden="false" customHeight="true" outlineLevel="0" collapsed="false">
      <c r="B130" s="17" t="s">
        <v>142</v>
      </c>
      <c r="C130" s="17" t="n">
        <v>24</v>
      </c>
      <c r="D130" s="17" t="n">
        <v>26</v>
      </c>
      <c r="E130" s="18" t="str">
        <f aca="false">PROPER(B130)</f>
        <v>Sara Ali</v>
      </c>
      <c r="F130" s="18" t="str">
        <f aca="false">IF(C130&gt;=D130,"Good","Warning")</f>
        <v>Warning</v>
      </c>
      <c r="G130" s="18" t="str">
        <f aca="false">ROUND(C130/D130*100,1)&amp;"%"</f>
        <v>92.3%</v>
      </c>
    </row>
    <row r="131" customFormat="false" ht="15" hidden="false" customHeight="true" outlineLevel="0" collapsed="false">
      <c r="B131" s="16" t="s">
        <v>143</v>
      </c>
      <c r="C131" s="16" t="n">
        <v>27</v>
      </c>
      <c r="D131" s="16" t="n">
        <v>26</v>
      </c>
      <c r="E131" s="18" t="str">
        <f aca="false">PROPER(B131)</f>
        <v>Zain Malik</v>
      </c>
      <c r="F131" s="18" t="str">
        <f aca="false">IF(C131&gt;=D131,"Good","Warning")</f>
        <v>Good</v>
      </c>
      <c r="G131" s="18" t="str">
        <f aca="false">ROUND(C131/D131*100,1)&amp;"%"</f>
        <v>103.8%</v>
      </c>
    </row>
    <row r="132" customFormat="false" ht="15" hidden="false" customHeight="true" outlineLevel="0" collapsed="false">
      <c r="B132" s="17" t="s">
        <v>144</v>
      </c>
      <c r="C132" s="17" t="n">
        <v>20</v>
      </c>
      <c r="D132" s="17" t="n">
        <v>26</v>
      </c>
      <c r="E132" s="18" t="str">
        <f aca="false">PROPER(B132)</f>
        <v>Fatima Noor</v>
      </c>
      <c r="F132" s="18" t="str">
        <f aca="false">IF(C132&gt;=D132,"Good","Warning")</f>
        <v>Warning</v>
      </c>
      <c r="G132" s="18" t="str">
        <f aca="false">ROUND(C132/D132*100,1)&amp;"%"</f>
        <v>76.9%</v>
      </c>
    </row>
    <row r="133" customFormat="false" ht="15" hidden="false" customHeight="true" outlineLevel="0" collapsed="false">
      <c r="B133" s="16" t="s">
        <v>145</v>
      </c>
      <c r="C133" s="16" t="n">
        <v>26</v>
      </c>
      <c r="D133" s="16" t="n">
        <v>26</v>
      </c>
      <c r="E133" s="18" t="str">
        <f aca="false">PROPER(B133)</f>
        <v>Usman Tariq</v>
      </c>
      <c r="F133" s="18" t="str">
        <f aca="false">IF(C133&gt;=D133,"Good","Warning")</f>
        <v>Good</v>
      </c>
      <c r="G133" s="18" t="str">
        <f aca="false">ROUND(C133/D133*100,1)&amp;"%"</f>
        <v>100%</v>
      </c>
    </row>
    <row r="134" customFormat="false" ht="15" hidden="false" customHeight="true" outlineLevel="0" collapsed="false">
      <c r="B134" s="7" t="s">
        <v>146</v>
      </c>
      <c r="C134" s="18" t="n">
        <f aca="false">SUM(C129:C133)</f>
        <v>125</v>
      </c>
      <c r="D134" s="18" t="n">
        <f aca="false">AVERAGE(D129:D133)</f>
        <v>26</v>
      </c>
      <c r="F134" s="18" t="str">
        <f aca="false">COUNTIF(F129:F133,"Good")&amp;" Good, "&amp;COUNTIF(F129:F133,"Warning")&amp;" Warning"</f>
        <v>3 Good, 2 Warning</v>
      </c>
    </row>
  </sheetData>
  <mergeCells count="22">
    <mergeCell ref="B1:G1"/>
    <mergeCell ref="B3:G3"/>
    <mergeCell ref="B4:G4"/>
    <mergeCell ref="B39:G39"/>
    <mergeCell ref="B43:G43"/>
    <mergeCell ref="B45:G45"/>
    <mergeCell ref="B46:G46"/>
    <mergeCell ref="B51:G51"/>
    <mergeCell ref="B66:G66"/>
    <mergeCell ref="B67:G67"/>
    <mergeCell ref="B80:G80"/>
    <mergeCell ref="B82:G82"/>
    <mergeCell ref="B83:G83"/>
    <mergeCell ref="B91:G91"/>
    <mergeCell ref="B99:G99"/>
    <mergeCell ref="B101:G101"/>
    <mergeCell ref="B102:G102"/>
    <mergeCell ref="B115:G115"/>
    <mergeCell ref="B116:G116"/>
    <mergeCell ref="B124:G124"/>
    <mergeCell ref="B126:G126"/>
    <mergeCell ref="B127:G1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5" min="3" style="1" width="18"/>
    <col collapsed="false" customWidth="true" hidden="false" outlineLevel="0" max="6" min="6" style="1" width="20"/>
    <col collapsed="false" customWidth="true" hidden="false" outlineLevel="0" max="8" min="7" style="1" width="28"/>
    <col collapsed="false" customWidth="true" hidden="false" outlineLevel="0" max="9" min="9" style="1" width="4"/>
  </cols>
  <sheetData>
    <row r="1" customFormat="false" ht="24" hidden="false" customHeight="true" outlineLevel="0" collapsed="false">
      <c r="B1" s="13" t="s">
        <v>147</v>
      </c>
      <c r="C1" s="13"/>
      <c r="D1" s="13"/>
      <c r="E1" s="13"/>
      <c r="F1" s="13"/>
      <c r="G1" s="13"/>
      <c r="H1" s="13"/>
    </row>
    <row r="3" customFormat="false" ht="24" hidden="false" customHeight="true" outlineLevel="0" collapsed="false">
      <c r="B3" s="14" t="s">
        <v>148</v>
      </c>
      <c r="C3" s="14"/>
      <c r="D3" s="14"/>
      <c r="E3" s="14"/>
    </row>
    <row r="4" customFormat="false" ht="15" hidden="false" customHeight="true" outlineLevel="0" collapsed="false">
      <c r="B4" s="7" t="s">
        <v>149</v>
      </c>
      <c r="C4" s="7" t="s">
        <v>150</v>
      </c>
      <c r="D4" s="7" t="s">
        <v>151</v>
      </c>
      <c r="E4" s="7" t="s">
        <v>152</v>
      </c>
    </row>
    <row r="5" customFormat="false" ht="15" hidden="false" customHeight="true" outlineLevel="0" collapsed="false">
      <c r="B5" s="16" t="n">
        <v>101</v>
      </c>
      <c r="C5" s="16" t="s">
        <v>153</v>
      </c>
      <c r="D5" s="16" t="s">
        <v>154</v>
      </c>
      <c r="E5" s="16" t="n">
        <v>45000</v>
      </c>
    </row>
    <row r="6" customFormat="false" ht="15" hidden="false" customHeight="true" outlineLevel="0" collapsed="false">
      <c r="B6" s="17" t="n">
        <v>102</v>
      </c>
      <c r="C6" s="17" t="s">
        <v>155</v>
      </c>
      <c r="D6" s="17" t="s">
        <v>156</v>
      </c>
      <c r="E6" s="17" t="n">
        <v>38000</v>
      </c>
    </row>
    <row r="7" customFormat="false" ht="15" hidden="false" customHeight="true" outlineLevel="0" collapsed="false">
      <c r="B7" s="16" t="n">
        <v>103</v>
      </c>
      <c r="C7" s="16" t="s">
        <v>157</v>
      </c>
      <c r="D7" s="16" t="s">
        <v>154</v>
      </c>
      <c r="E7" s="16" t="n">
        <v>42000</v>
      </c>
    </row>
    <row r="8" customFormat="false" ht="15" hidden="false" customHeight="true" outlineLevel="0" collapsed="false">
      <c r="B8" s="17" t="n">
        <v>104</v>
      </c>
      <c r="C8" s="17" t="s">
        <v>158</v>
      </c>
      <c r="D8" s="17" t="s">
        <v>159</v>
      </c>
      <c r="E8" s="17" t="n">
        <v>55000</v>
      </c>
    </row>
    <row r="9" customFormat="false" ht="15" hidden="false" customHeight="true" outlineLevel="0" collapsed="false">
      <c r="B9" s="16" t="n">
        <v>105</v>
      </c>
      <c r="C9" s="16" t="s">
        <v>160</v>
      </c>
      <c r="D9" s="16" t="s">
        <v>154</v>
      </c>
      <c r="E9" s="16" t="n">
        <v>48000</v>
      </c>
    </row>
    <row r="12" customFormat="false" ht="24" hidden="false" customHeight="true" outlineLevel="0" collapsed="false">
      <c r="B12" s="14" t="s">
        <v>161</v>
      </c>
      <c r="C12" s="14"/>
      <c r="D12" s="14"/>
      <c r="E12" s="14"/>
    </row>
    <row r="13" customFormat="false" ht="15" hidden="false" customHeight="true" outlineLevel="0" collapsed="false">
      <c r="B13" s="7" t="s">
        <v>114</v>
      </c>
      <c r="C13" s="7" t="s">
        <v>162</v>
      </c>
      <c r="D13" s="7" t="s">
        <v>163</v>
      </c>
      <c r="E13" s="7" t="s">
        <v>164</v>
      </c>
    </row>
    <row r="14" customFormat="false" ht="15" hidden="false" customHeight="true" outlineLevel="0" collapsed="false">
      <c r="B14" s="16" t="s">
        <v>165</v>
      </c>
      <c r="C14" s="16" t="s">
        <v>166</v>
      </c>
      <c r="D14" s="16" t="n">
        <v>75000</v>
      </c>
      <c r="E14" s="16" t="s">
        <v>167</v>
      </c>
    </row>
    <row r="15" customFormat="false" ht="15" hidden="false" customHeight="true" outlineLevel="0" collapsed="false">
      <c r="B15" s="17" t="s">
        <v>168</v>
      </c>
      <c r="C15" s="17" t="s">
        <v>169</v>
      </c>
      <c r="D15" s="17" t="n">
        <v>500</v>
      </c>
      <c r="E15" s="17" t="s">
        <v>170</v>
      </c>
    </row>
    <row r="16" customFormat="false" ht="15" hidden="false" customHeight="true" outlineLevel="0" collapsed="false">
      <c r="B16" s="16" t="s">
        <v>171</v>
      </c>
      <c r="C16" s="16" t="s">
        <v>172</v>
      </c>
      <c r="D16" s="16" t="n">
        <v>1200</v>
      </c>
      <c r="E16" s="16" t="s">
        <v>170</v>
      </c>
    </row>
    <row r="17" customFormat="false" ht="15" hidden="false" customHeight="true" outlineLevel="0" collapsed="false">
      <c r="B17" s="17" t="s">
        <v>173</v>
      </c>
      <c r="C17" s="17" t="s">
        <v>174</v>
      </c>
      <c r="D17" s="17" t="n">
        <v>25000</v>
      </c>
      <c r="E17" s="17" t="s">
        <v>167</v>
      </c>
    </row>
    <row r="18" customFormat="false" ht="15" hidden="false" customHeight="true" outlineLevel="0" collapsed="false">
      <c r="B18" s="16" t="s">
        <v>175</v>
      </c>
      <c r="C18" s="16" t="s">
        <v>176</v>
      </c>
      <c r="D18" s="16" t="n">
        <v>3500</v>
      </c>
      <c r="E18" s="16" t="s">
        <v>170</v>
      </c>
    </row>
    <row r="21" customFormat="false" ht="24" hidden="false" customHeight="true" outlineLevel="0" collapsed="false">
      <c r="B21" s="14" t="s">
        <v>177</v>
      </c>
      <c r="C21" s="14"/>
      <c r="D21" s="14"/>
      <c r="E21" s="14"/>
      <c r="F21" s="14"/>
      <c r="G21" s="14"/>
      <c r="H21" s="14"/>
    </row>
    <row r="22" customFormat="false" ht="31.5" hidden="false" customHeight="true" outlineLevel="0" collapsed="false">
      <c r="B22" s="15" t="s">
        <v>178</v>
      </c>
      <c r="C22" s="15"/>
      <c r="D22" s="15"/>
      <c r="E22" s="15"/>
      <c r="F22" s="15"/>
      <c r="G22" s="15"/>
      <c r="H22" s="15"/>
    </row>
    <row r="23" customFormat="false" ht="15" hidden="false" customHeight="true" outlineLevel="0" collapsed="false">
      <c r="B23" s="7" t="s">
        <v>149</v>
      </c>
      <c r="C23" s="7" t="s">
        <v>179</v>
      </c>
      <c r="D23" s="7" t="s">
        <v>151</v>
      </c>
      <c r="E23" s="7" t="s">
        <v>152</v>
      </c>
    </row>
    <row r="24" customFormat="false" ht="15" hidden="false" customHeight="true" outlineLevel="0" collapsed="false">
      <c r="B24" s="16" t="n">
        <v>101</v>
      </c>
      <c r="C24" s="18" t="str">
        <f aca="false">IFERROR(VLOOKUP(B24,$B$5:$E$9,2,FALSE()),"Not Found")</f>
        <v>Ahmed Khan</v>
      </c>
      <c r="D24" s="18" t="str">
        <f aca="false">IFERROR(VLOOKUP(B24,$B$5:$E$9,3,FALSE()),"Not Found")</f>
        <v>Sales</v>
      </c>
      <c r="E24" s="18" t="n">
        <f aca="false">IFERROR(VLOOKUP(B24,$B$5:$E$9,4,FALSE()),0)</f>
        <v>45000</v>
      </c>
    </row>
    <row r="25" customFormat="false" ht="15" hidden="false" customHeight="true" outlineLevel="0" collapsed="false">
      <c r="B25" s="17" t="n">
        <v>103</v>
      </c>
      <c r="C25" s="18" t="str">
        <f aca="false">IFERROR(VLOOKUP(B25,$B$5:$E$9,2,FALSE()),"Not Found")</f>
        <v>Zain Malik</v>
      </c>
      <c r="D25" s="18" t="str">
        <f aca="false">IFERROR(VLOOKUP(B25,$B$5:$E$9,3,FALSE()),"Not Found")</f>
        <v>Sales</v>
      </c>
      <c r="E25" s="18" t="n">
        <f aca="false">IFERROR(VLOOKUP(B25,$B$5:$E$9,4,FALSE()),0)</f>
        <v>42000</v>
      </c>
    </row>
    <row r="26" customFormat="false" ht="15" hidden="false" customHeight="true" outlineLevel="0" collapsed="false">
      <c r="B26" s="16" t="n">
        <v>105</v>
      </c>
      <c r="C26" s="18" t="str">
        <f aca="false">IFERROR(VLOOKUP(B26,$B$5:$E$9,2,FALSE()),"Not Found")</f>
        <v>Usman Tariq</v>
      </c>
      <c r="D26" s="18" t="str">
        <f aca="false">IFERROR(VLOOKUP(B26,$B$5:$E$9,3,FALSE()),"Not Found")</f>
        <v>Sales</v>
      </c>
      <c r="E26" s="18" t="n">
        <f aca="false">IFERROR(VLOOKUP(B26,$B$5:$E$9,4,FALSE()),0)</f>
        <v>48000</v>
      </c>
    </row>
    <row r="27" customFormat="false" ht="15" hidden="false" customHeight="true" outlineLevel="0" collapsed="false">
      <c r="B27" s="17" t="n">
        <v>999</v>
      </c>
      <c r="C27" s="18" t="str">
        <f aca="false">IFERROR(VLOOKUP(B27,$B$5:$E$9,2,FALSE()),"Not Found")</f>
        <v>Not Found</v>
      </c>
      <c r="D27" s="18" t="str">
        <f aca="false">IFERROR(VLOOKUP(B27,$B$5:$E$9,3,FALSE()),"Not Found")</f>
        <v>Not Found</v>
      </c>
      <c r="E27" s="18" t="n">
        <f aca="false">IFERROR(VLOOKUP(B27,$B$5:$E$9,4,FALSE()),0)</f>
        <v>0</v>
      </c>
    </row>
    <row r="28" customFormat="false" ht="27.75" hidden="false" customHeight="true" outlineLevel="0" collapsed="false">
      <c r="B28" s="12" t="s">
        <v>180</v>
      </c>
      <c r="C28" s="12"/>
      <c r="D28" s="12"/>
      <c r="E28" s="12"/>
      <c r="F28" s="12"/>
      <c r="G28" s="12"/>
      <c r="H28" s="12"/>
    </row>
    <row r="30" customFormat="false" ht="31.5" hidden="false" customHeight="true" outlineLevel="0" collapsed="false">
      <c r="B30" s="15" t="s">
        <v>181</v>
      </c>
      <c r="C30" s="15"/>
      <c r="D30" s="15"/>
      <c r="E30" s="15"/>
      <c r="F30" s="15"/>
      <c r="G30" s="15"/>
      <c r="H30" s="15"/>
    </row>
    <row r="31" customFormat="false" ht="15" hidden="false" customHeight="true" outlineLevel="0" collapsed="false">
      <c r="B31" s="7" t="s">
        <v>114</v>
      </c>
      <c r="C31" s="7" t="s">
        <v>162</v>
      </c>
      <c r="D31" s="7" t="s">
        <v>182</v>
      </c>
      <c r="E31" s="7" t="s">
        <v>183</v>
      </c>
      <c r="F31" s="7" t="s">
        <v>184</v>
      </c>
    </row>
    <row r="32" customFormat="false" ht="15" hidden="false" customHeight="true" outlineLevel="0" collapsed="false">
      <c r="B32" s="16" t="s">
        <v>165</v>
      </c>
      <c r="C32" s="18" t="str">
        <f aca="false">IFERROR(VLOOKUP(B32,$B$14:$E$18,2,FALSE()),"Invalid Code")</f>
        <v>Laptop</v>
      </c>
      <c r="D32" s="18" t="n">
        <f aca="false">IFERROR(VLOOKUP(B32,$B$14:$E$18,3,FALSE()),0)</f>
        <v>75000</v>
      </c>
      <c r="E32" s="16" t="n">
        <v>2</v>
      </c>
      <c r="F32" s="18" t="n">
        <f aca="false">IFERROR(D32*E32,0)</f>
        <v>150000</v>
      </c>
    </row>
    <row r="33" customFormat="false" ht="15" hidden="false" customHeight="true" outlineLevel="0" collapsed="false">
      <c r="B33" s="17" t="s">
        <v>168</v>
      </c>
      <c r="C33" s="18" t="str">
        <f aca="false">IFERROR(VLOOKUP(B33,$B$14:$E$18,2,FALSE()),"Invalid Code")</f>
        <v>Mouse</v>
      </c>
      <c r="D33" s="18" t="n">
        <f aca="false">IFERROR(VLOOKUP(B33,$B$14:$E$18,3,FALSE()),0)</f>
        <v>500</v>
      </c>
      <c r="E33" s="17" t="n">
        <v>10</v>
      </c>
      <c r="F33" s="18" t="n">
        <f aca="false">IFERROR(D33*E33,0)</f>
        <v>5000</v>
      </c>
    </row>
    <row r="34" customFormat="false" ht="15" hidden="false" customHeight="true" outlineLevel="0" collapsed="false">
      <c r="B34" s="16" t="s">
        <v>171</v>
      </c>
      <c r="C34" s="18" t="str">
        <f aca="false">IFERROR(VLOOKUP(B34,$B$14:$E$18,2,FALSE()),"Invalid Code")</f>
        <v>Keyboard</v>
      </c>
      <c r="D34" s="18" t="n">
        <f aca="false">IFERROR(VLOOKUP(B34,$B$14:$E$18,3,FALSE()),0)</f>
        <v>1200</v>
      </c>
      <c r="E34" s="16" t="n">
        <v>3</v>
      </c>
      <c r="F34" s="18" t="n">
        <f aca="false">IFERROR(D34*E34,0)</f>
        <v>3600</v>
      </c>
    </row>
    <row r="35" customFormat="false" ht="15" hidden="false" customHeight="true" outlineLevel="0" collapsed="false">
      <c r="B35" s="17" t="s">
        <v>173</v>
      </c>
      <c r="C35" s="18" t="str">
        <f aca="false">IFERROR(VLOOKUP(B35,$B$14:$E$18,2,FALSE()),"Invalid Code")</f>
        <v>Monitor</v>
      </c>
      <c r="D35" s="18" t="n">
        <f aca="false">IFERROR(VLOOKUP(B35,$B$14:$E$18,3,FALSE()),0)</f>
        <v>25000</v>
      </c>
      <c r="E35" s="17" t="n">
        <v>1</v>
      </c>
      <c r="F35" s="18" t="n">
        <f aca="false">IFERROR(D35*E35,0)</f>
        <v>25000</v>
      </c>
    </row>
    <row r="36" customFormat="false" ht="15" hidden="false" customHeight="true" outlineLevel="0" collapsed="false">
      <c r="B36" s="16" t="s">
        <v>185</v>
      </c>
      <c r="C36" s="18" t="str">
        <f aca="false">IFERROR(VLOOKUP(B36,$B$14:$E$18,2,FALSE()),"Invalid Code")</f>
        <v>Invalid Code</v>
      </c>
      <c r="D36" s="18" t="n">
        <f aca="false">IFERROR(VLOOKUP(B36,$B$14:$E$18,3,FALSE()),0)</f>
        <v>0</v>
      </c>
      <c r="E36" s="16" t="n">
        <v>5</v>
      </c>
      <c r="F36" s="18" t="n">
        <f aca="false">IFERROR(D36*E36,0)</f>
        <v>0</v>
      </c>
    </row>
    <row r="37" customFormat="false" ht="15" hidden="false" customHeight="true" outlineLevel="0" collapsed="false">
      <c r="E37" s="7" t="s">
        <v>186</v>
      </c>
      <c r="F37" s="18" t="n">
        <f aca="false">SUM(F32:F36)</f>
        <v>183600</v>
      </c>
    </row>
    <row r="40" customFormat="false" ht="24" hidden="false" customHeight="true" outlineLevel="0" collapsed="false">
      <c r="B40" s="14" t="s">
        <v>187</v>
      </c>
      <c r="C40" s="14"/>
      <c r="D40" s="14"/>
      <c r="E40" s="14"/>
      <c r="F40" s="14"/>
      <c r="G40" s="14"/>
      <c r="H40" s="14"/>
    </row>
    <row r="41" customFormat="false" ht="31.5" hidden="false" customHeight="true" outlineLevel="0" collapsed="false">
      <c r="B41" s="15" t="s">
        <v>188</v>
      </c>
      <c r="C41" s="15"/>
      <c r="D41" s="15"/>
      <c r="E41" s="15"/>
      <c r="F41" s="15"/>
      <c r="G41" s="15"/>
      <c r="H41" s="15"/>
    </row>
    <row r="42" customFormat="false" ht="15" hidden="false" customHeight="true" outlineLevel="0" collapsed="false">
      <c r="B42" s="7" t="s">
        <v>189</v>
      </c>
      <c r="C42" s="7" t="s">
        <v>190</v>
      </c>
      <c r="D42" s="7" t="s">
        <v>83</v>
      </c>
      <c r="E42" s="7" t="s">
        <v>23</v>
      </c>
    </row>
    <row r="43" customFormat="false" ht="15" hidden="false" customHeight="true" outlineLevel="0" collapsed="false">
      <c r="B43" s="16" t="s">
        <v>191</v>
      </c>
      <c r="C43" s="16" t="s">
        <v>192</v>
      </c>
      <c r="D43" s="16" t="s">
        <v>86</v>
      </c>
      <c r="E43" s="16" t="n">
        <v>50000</v>
      </c>
    </row>
    <row r="44" customFormat="false" ht="15" hidden="false" customHeight="true" outlineLevel="0" collapsed="false">
      <c r="B44" s="17" t="s">
        <v>193</v>
      </c>
      <c r="C44" s="17" t="s">
        <v>194</v>
      </c>
      <c r="D44" s="17" t="s">
        <v>87</v>
      </c>
      <c r="E44" s="17" t="n">
        <v>35000</v>
      </c>
    </row>
    <row r="45" customFormat="false" ht="15" hidden="false" customHeight="true" outlineLevel="0" collapsed="false">
      <c r="B45" s="16" t="s">
        <v>195</v>
      </c>
      <c r="C45" s="16" t="s">
        <v>192</v>
      </c>
      <c r="D45" s="16" t="s">
        <v>88</v>
      </c>
      <c r="E45" s="16" t="n">
        <v>42000</v>
      </c>
    </row>
    <row r="46" customFormat="false" ht="15" hidden="false" customHeight="true" outlineLevel="0" collapsed="false">
      <c r="B46" s="17" t="s">
        <v>196</v>
      </c>
      <c r="C46" s="17" t="s">
        <v>197</v>
      </c>
      <c r="D46" s="17" t="s">
        <v>86</v>
      </c>
      <c r="E46" s="17" t="n">
        <v>28000</v>
      </c>
    </row>
    <row r="47" customFormat="false" ht="15" hidden="false" customHeight="true" outlineLevel="0" collapsed="false">
      <c r="B47" s="16" t="s">
        <v>198</v>
      </c>
      <c r="C47" s="16" t="s">
        <v>192</v>
      </c>
      <c r="D47" s="16" t="s">
        <v>87</v>
      </c>
      <c r="E47" s="16" t="n">
        <v>38000</v>
      </c>
    </row>
    <row r="48" customFormat="false" ht="15" hidden="false" customHeight="true" outlineLevel="0" collapsed="false">
      <c r="B48" s="17" t="s">
        <v>199</v>
      </c>
      <c r="C48" s="17" t="s">
        <v>194</v>
      </c>
      <c r="D48" s="17" t="s">
        <v>88</v>
      </c>
      <c r="E48" s="17" t="n">
        <v>45000</v>
      </c>
    </row>
    <row r="49" customFormat="false" ht="15" hidden="false" customHeight="true" outlineLevel="0" collapsed="false">
      <c r="B49" s="16" t="s">
        <v>200</v>
      </c>
      <c r="C49" s="16" t="s">
        <v>192</v>
      </c>
      <c r="D49" s="16" t="s">
        <v>86</v>
      </c>
      <c r="E49" s="16" t="n">
        <v>55000</v>
      </c>
    </row>
    <row r="50" customFormat="false" ht="15" hidden="false" customHeight="true" outlineLevel="0" collapsed="false">
      <c r="B50" s="17" t="s">
        <v>201</v>
      </c>
      <c r="C50" s="17" t="s">
        <v>197</v>
      </c>
      <c r="D50" s="17" t="s">
        <v>87</v>
      </c>
      <c r="E50" s="17" t="n">
        <v>32000</v>
      </c>
    </row>
    <row r="52" customFormat="false" ht="31.5" hidden="false" customHeight="true" outlineLevel="0" collapsed="false">
      <c r="B52" s="15" t="s">
        <v>202</v>
      </c>
      <c r="C52" s="15"/>
      <c r="D52" s="15"/>
      <c r="E52" s="15"/>
      <c r="F52" s="15"/>
      <c r="G52" s="15"/>
      <c r="H52" s="15"/>
    </row>
    <row r="53" customFormat="false" ht="23.25" hidden="false" customHeight="true" outlineLevel="0" collapsed="false">
      <c r="B53" s="7" t="s">
        <v>190</v>
      </c>
      <c r="C53" s="7" t="s">
        <v>203</v>
      </c>
      <c r="D53" s="7" t="s">
        <v>204</v>
      </c>
      <c r="E53" s="7" t="s">
        <v>205</v>
      </c>
    </row>
    <row r="54" customFormat="false" ht="15" hidden="false" customHeight="true" outlineLevel="0" collapsed="false">
      <c r="B54" s="16" t="s">
        <v>192</v>
      </c>
      <c r="C54" s="18" t="n">
        <f aca="false">SUMIF($C$43:$C$50,B54,$E$43:$E$50)</f>
        <v>185000</v>
      </c>
      <c r="D54" s="18" t="n">
        <f aca="false">COUNTIF($C$43:$C$50,B54)</f>
        <v>4</v>
      </c>
      <c r="E54" s="18" t="n">
        <f aca="false">IFERROR(C54/D54,0)</f>
        <v>46250</v>
      </c>
    </row>
    <row r="55" customFormat="false" ht="15" hidden="false" customHeight="true" outlineLevel="0" collapsed="false">
      <c r="B55" s="17" t="s">
        <v>194</v>
      </c>
      <c r="C55" s="18" t="n">
        <f aca="false">SUMIF($C$43:$C$50,B55,$E$43:$E$50)</f>
        <v>80000</v>
      </c>
      <c r="D55" s="18" t="n">
        <f aca="false">COUNTIF($C$43:$C$50,B55)</f>
        <v>2</v>
      </c>
      <c r="E55" s="18" t="n">
        <f aca="false">IFERROR(C55/D55,0)</f>
        <v>40000</v>
      </c>
    </row>
    <row r="56" customFormat="false" ht="15" hidden="false" customHeight="true" outlineLevel="0" collapsed="false">
      <c r="B56" s="16" t="s">
        <v>197</v>
      </c>
      <c r="C56" s="18" t="n">
        <f aca="false">SUMIF($C$43:$C$50,B56,$E$43:$E$50)</f>
        <v>60000</v>
      </c>
      <c r="D56" s="18" t="n">
        <f aca="false">COUNTIF($C$43:$C$50,B56)</f>
        <v>2</v>
      </c>
      <c r="E56" s="18" t="n">
        <f aca="false">IFERROR(C56/D56,0)</f>
        <v>30000</v>
      </c>
    </row>
    <row r="58" customFormat="false" ht="31.5" hidden="false" customHeight="true" outlineLevel="0" collapsed="false">
      <c r="B58" s="15" t="s">
        <v>206</v>
      </c>
      <c r="C58" s="15"/>
      <c r="D58" s="15"/>
      <c r="E58" s="15"/>
      <c r="F58" s="15"/>
      <c r="G58" s="15"/>
      <c r="H58" s="15"/>
    </row>
    <row r="59" customFormat="false" ht="15" hidden="false" customHeight="true" outlineLevel="0" collapsed="false">
      <c r="B59" s="7" t="s">
        <v>207</v>
      </c>
      <c r="C59" s="7" t="s">
        <v>208</v>
      </c>
      <c r="D59" s="7" t="s">
        <v>209</v>
      </c>
    </row>
    <row r="60" customFormat="false" ht="15" hidden="false" customHeight="true" outlineLevel="0" collapsed="false">
      <c r="B60" s="16" t="s">
        <v>210</v>
      </c>
      <c r="C60" s="18" t="n">
        <f aca="false">COUNTIF($E$43:$E$50,"&gt;40000")</f>
        <v>4</v>
      </c>
      <c r="D60" s="18" t="n">
        <f aca="false">SUMIF($E$43:$E$50,"&gt;40000",$E$43:$E$50)</f>
        <v>192000</v>
      </c>
    </row>
    <row r="61" customFormat="false" ht="15" hidden="false" customHeight="true" outlineLevel="0" collapsed="false">
      <c r="B61" s="17" t="s">
        <v>211</v>
      </c>
      <c r="C61" s="18" t="n">
        <f aca="false">COUNTIF($E$43:$E$50,"&gt;50000")</f>
        <v>1</v>
      </c>
      <c r="D61" s="18" t="n">
        <f aca="false">SUMIF($E$43:$E$50,"&gt;50000",$E$43:$E$50)</f>
        <v>55000</v>
      </c>
    </row>
    <row r="62" customFormat="false" ht="15" hidden="false" customHeight="true" outlineLevel="0" collapsed="false">
      <c r="B62" s="16" t="s">
        <v>212</v>
      </c>
      <c r="C62" s="18" t="n">
        <f aca="false">COUNTIF($E$43:$E$50,"&lt;=35000")</f>
        <v>3</v>
      </c>
      <c r="D62" s="18" t="n">
        <f aca="false">SUMIF($E$43:$E$50,"&lt;=35000",$E$43:$E$50)</f>
        <v>95000</v>
      </c>
    </row>
    <row r="63" customFormat="false" ht="27.75" hidden="false" customHeight="true" outlineLevel="0" collapsed="false">
      <c r="B63" s="12" t="s">
        <v>213</v>
      </c>
      <c r="C63" s="12"/>
      <c r="D63" s="12"/>
      <c r="E63" s="12"/>
      <c r="F63" s="12"/>
      <c r="G63" s="12"/>
      <c r="H63" s="12"/>
    </row>
    <row r="65" customFormat="false" ht="24" hidden="false" customHeight="true" outlineLevel="0" collapsed="false">
      <c r="B65" s="14" t="s">
        <v>214</v>
      </c>
      <c r="C65" s="14"/>
      <c r="D65" s="14"/>
      <c r="E65" s="14"/>
      <c r="F65" s="14"/>
      <c r="G65" s="14"/>
      <c r="H65" s="14"/>
    </row>
    <row r="66" customFormat="false" ht="31.5" hidden="false" customHeight="true" outlineLevel="0" collapsed="false">
      <c r="B66" s="15" t="s">
        <v>215</v>
      </c>
      <c r="C66" s="15"/>
      <c r="D66" s="15"/>
      <c r="E66" s="15"/>
      <c r="F66" s="15"/>
      <c r="G66" s="15"/>
      <c r="H66" s="15"/>
    </row>
    <row r="67" customFormat="false" ht="15" hidden="false" customHeight="true" outlineLevel="0" collapsed="false">
      <c r="B67" s="7" t="s">
        <v>216</v>
      </c>
      <c r="C67" s="7" t="s">
        <v>217</v>
      </c>
      <c r="D67" s="7" t="s">
        <v>218</v>
      </c>
      <c r="E67" s="7" t="s">
        <v>219</v>
      </c>
      <c r="F67" s="7" t="s">
        <v>220</v>
      </c>
      <c r="G67" s="7" t="s">
        <v>221</v>
      </c>
      <c r="H67" s="7" t="s">
        <v>222</v>
      </c>
    </row>
    <row r="68" customFormat="false" ht="15" hidden="false" customHeight="true" outlineLevel="0" collapsed="false">
      <c r="B68" s="16" t="s">
        <v>153</v>
      </c>
      <c r="C68" s="16" t="s">
        <v>223</v>
      </c>
      <c r="D68" s="16" t="s">
        <v>224</v>
      </c>
      <c r="E68" s="18" t="n">
        <f aca="false">YEAR(C68)</f>
        <v>1990</v>
      </c>
      <c r="F68" s="18" t="n">
        <f aca="false">MONTH(C68)</f>
        <v>3</v>
      </c>
      <c r="G68" s="18" t="n">
        <f aca="true">DATEDIF(C68,TODAY(),"Y")</f>
        <v>35</v>
      </c>
      <c r="H68" s="18" t="n">
        <f aca="true">DATEDIF(D68,TODAY(),"Y")</f>
        <v>6</v>
      </c>
    </row>
    <row r="69" customFormat="false" ht="15" hidden="false" customHeight="true" outlineLevel="0" collapsed="false">
      <c r="B69" s="17" t="s">
        <v>155</v>
      </c>
      <c r="C69" s="17" t="s">
        <v>225</v>
      </c>
      <c r="D69" s="17" t="s">
        <v>226</v>
      </c>
      <c r="E69" s="18" t="n">
        <f aca="false">YEAR(C69)</f>
        <v>1995</v>
      </c>
      <c r="F69" s="18" t="n">
        <f aca="false">MONTH(C69)</f>
        <v>7</v>
      </c>
      <c r="G69" s="18" t="n">
        <f aca="true">DATEDIF(C69,TODAY(),"Y")</f>
        <v>30</v>
      </c>
      <c r="H69" s="18" t="n">
        <f aca="true">DATEDIF(D69,TODAY(),"Y")</f>
        <v>3</v>
      </c>
    </row>
    <row r="70" customFormat="false" ht="15" hidden="false" customHeight="true" outlineLevel="0" collapsed="false">
      <c r="B70" s="16" t="s">
        <v>157</v>
      </c>
      <c r="C70" s="16" t="s">
        <v>227</v>
      </c>
      <c r="D70" s="16" t="s">
        <v>228</v>
      </c>
      <c r="E70" s="18" t="n">
        <f aca="false">YEAR(C70)</f>
        <v>1988</v>
      </c>
      <c r="F70" s="18" t="n">
        <f aca="false">MONTH(C70)</f>
        <v>11</v>
      </c>
      <c r="G70" s="18" t="n">
        <f aca="true">DATEDIF(C70,TODAY(),"Y")</f>
        <v>37</v>
      </c>
      <c r="H70" s="18" t="n">
        <f aca="true">DATEDIF(D70,TODAY(),"Y")</f>
        <v>6</v>
      </c>
    </row>
    <row r="71" customFormat="false" ht="15" hidden="false" customHeight="true" outlineLevel="0" collapsed="false">
      <c r="B71" s="17" t="s">
        <v>158</v>
      </c>
      <c r="C71" s="17" t="s">
        <v>229</v>
      </c>
      <c r="D71" s="17" t="s">
        <v>230</v>
      </c>
      <c r="E71" s="18" t="n">
        <f aca="false">YEAR(C71)</f>
        <v>1992</v>
      </c>
      <c r="F71" s="18" t="n">
        <f aca="false">MONTH(C71)</f>
        <v>5</v>
      </c>
      <c r="G71" s="18" t="n">
        <f aca="true">DATEDIF(C71,TODAY(),"Y")</f>
        <v>33</v>
      </c>
      <c r="H71" s="18" t="n">
        <f aca="true">DATEDIF(D71,TODAY(),"Y")</f>
        <v>4</v>
      </c>
    </row>
    <row r="72" customFormat="false" ht="27.75" hidden="false" customHeight="true" outlineLevel="0" collapsed="false">
      <c r="B72" s="12" t="s">
        <v>231</v>
      </c>
      <c r="C72" s="12"/>
      <c r="D72" s="12"/>
      <c r="E72" s="12"/>
      <c r="F72" s="12"/>
      <c r="G72" s="12"/>
      <c r="H72" s="12"/>
    </row>
    <row r="74" customFormat="false" ht="24" hidden="false" customHeight="true" outlineLevel="0" collapsed="false">
      <c r="B74" s="19" t="s">
        <v>232</v>
      </c>
      <c r="C74" s="19"/>
      <c r="D74" s="19"/>
      <c r="E74" s="19"/>
      <c r="F74" s="19"/>
      <c r="G74" s="19"/>
      <c r="H74" s="19"/>
    </row>
    <row r="75" customFormat="false" ht="27.75" hidden="false" customHeight="true" outlineLevel="0" collapsed="false">
      <c r="B75" s="12" t="s">
        <v>233</v>
      </c>
      <c r="C75" s="12"/>
      <c r="D75" s="12"/>
      <c r="E75" s="12"/>
      <c r="F75" s="12"/>
      <c r="G75" s="12"/>
      <c r="H75" s="12"/>
    </row>
    <row r="76" customFormat="false" ht="15" hidden="false" customHeight="true" outlineLevel="0" collapsed="false">
      <c r="B76" s="7" t="s">
        <v>149</v>
      </c>
      <c r="C76" s="7" t="s">
        <v>150</v>
      </c>
      <c r="D76" s="7" t="s">
        <v>151</v>
      </c>
      <c r="E76" s="7" t="s">
        <v>234</v>
      </c>
      <c r="F76" s="7" t="s">
        <v>222</v>
      </c>
    </row>
    <row r="77" customFormat="false" ht="23.25" hidden="false" customHeight="true" outlineLevel="0" collapsed="false">
      <c r="B77" s="16" t="n">
        <v>102</v>
      </c>
      <c r="C77" s="18" t="str">
        <f aca="false">IFERROR(VLOOKUP(B77,$B$5:$E$9,2,FALSE()),"Not Found")</f>
        <v>Sara Ali</v>
      </c>
      <c r="D77" s="18" t="str">
        <f aca="false">IFERROR(VLOOKUP(B77,$B$5:$E$9,3,FALSE()),"Not Found")</f>
        <v>HR</v>
      </c>
      <c r="E77" s="18" t="n">
        <f aca="false">IFERROR(VLOOKUP(B77,$B$5:$E$9,4,FALSE()),0)</f>
        <v>38000</v>
      </c>
      <c r="F77" s="16" t="s">
        <v>235</v>
      </c>
    </row>
    <row r="78" customFormat="false" ht="23.25" hidden="false" customHeight="true" outlineLevel="0" collapsed="false">
      <c r="B78" s="17" t="n">
        <v>104</v>
      </c>
      <c r="C78" s="18" t="str">
        <f aca="false">IFERROR(VLOOKUP(B78,$B$5:$E$9,2,FALSE()),"Not Found")</f>
        <v>Fatima Noor</v>
      </c>
      <c r="D78" s="18" t="str">
        <f aca="false">IFERROR(VLOOKUP(B78,$B$5:$E$9,3,FALSE()),"Not Found")</f>
        <v>IT</v>
      </c>
      <c r="E78" s="18" t="n">
        <f aca="false">IFERROR(VLOOKUP(B78,$B$5:$E$9,4,FALSE()),0)</f>
        <v>55000</v>
      </c>
      <c r="F78" s="17" t="s">
        <v>235</v>
      </c>
    </row>
    <row r="79" customFormat="false" ht="23.25" hidden="false" customHeight="true" outlineLevel="0" collapsed="false">
      <c r="B79" s="16" t="n">
        <v>101</v>
      </c>
      <c r="C79" s="18" t="str">
        <f aca="false">IFERROR(VLOOKUP(B79,$B$5:$E$9,2,FALSE()),"Not Found")</f>
        <v>Ahmed Khan</v>
      </c>
      <c r="D79" s="18" t="str">
        <f aca="false">IFERROR(VLOOKUP(B79,$B$5:$E$9,3,FALSE()),"Not Found")</f>
        <v>Sales</v>
      </c>
      <c r="E79" s="18" t="n">
        <f aca="false">IFERROR(VLOOKUP(B79,$B$5:$E$9,4,FALSE()),0)</f>
        <v>45000</v>
      </c>
      <c r="F79" s="16" t="s">
        <v>235</v>
      </c>
    </row>
    <row r="80" customFormat="false" ht="23.25" hidden="false" customHeight="true" outlineLevel="0" collapsed="false">
      <c r="B80" s="17" t="n">
        <v>999</v>
      </c>
      <c r="C80" s="18" t="str">
        <f aca="false">IFERROR(VLOOKUP(B80,$B$5:$E$9,2,FALSE()),"Not Found")</f>
        <v>Not Found</v>
      </c>
      <c r="D80" s="18" t="str">
        <f aca="false">IFERROR(VLOOKUP(B80,$B$5:$E$9,3,FALSE()),"Not Found")</f>
        <v>Not Found</v>
      </c>
      <c r="E80" s="18" t="n">
        <f aca="false">IFERROR(VLOOKUP(B80,$B$5:$E$9,4,FALSE()),0)</f>
        <v>0</v>
      </c>
      <c r="F80" s="17" t="s">
        <v>235</v>
      </c>
    </row>
    <row r="83" customFormat="false" ht="23.25" hidden="false" customHeight="true" outlineLevel="0" collapsed="false">
      <c r="B83" s="7" t="s">
        <v>83</v>
      </c>
      <c r="C83" s="7" t="s">
        <v>203</v>
      </c>
      <c r="D83" s="7" t="s">
        <v>204</v>
      </c>
    </row>
    <row r="84" customFormat="false" ht="15" hidden="false" customHeight="true" outlineLevel="0" collapsed="false">
      <c r="B84" s="16" t="s">
        <v>86</v>
      </c>
      <c r="C84" s="18" t="n">
        <f aca="false">SUMIF($D$43:$D$50,B84,$E$43:$E$50)</f>
        <v>133000</v>
      </c>
      <c r="D84" s="18" t="n">
        <f aca="false">COUNTIF($D$43:$D$50,B84)</f>
        <v>3</v>
      </c>
    </row>
    <row r="85" customFormat="false" ht="15" hidden="false" customHeight="true" outlineLevel="0" collapsed="false">
      <c r="B85" s="17" t="s">
        <v>87</v>
      </c>
      <c r="C85" s="18" t="n">
        <f aca="false">SUMIF($D$43:$D$50,B85,$E$43:$E$50)</f>
        <v>105000</v>
      </c>
      <c r="D85" s="18" t="n">
        <f aca="false">COUNTIF($D$43:$D$50,B85)</f>
        <v>3</v>
      </c>
    </row>
    <row r="86" customFormat="false" ht="15" hidden="false" customHeight="true" outlineLevel="0" collapsed="false">
      <c r="B86" s="16" t="s">
        <v>88</v>
      </c>
      <c r="C86" s="18" t="n">
        <f aca="false">SUMIF($D$43:$D$50,B86,$E$43:$E$50)</f>
        <v>87000</v>
      </c>
      <c r="D86" s="18" t="n">
        <f aca="false">COUNTIF($D$43:$D$50,B86)</f>
        <v>2</v>
      </c>
    </row>
  </sheetData>
  <mergeCells count="17">
    <mergeCell ref="B1:H1"/>
    <mergeCell ref="B3:E3"/>
    <mergeCell ref="B12:E12"/>
    <mergeCell ref="B21:H21"/>
    <mergeCell ref="B22:H22"/>
    <mergeCell ref="B28:H28"/>
    <mergeCell ref="B30:H30"/>
    <mergeCell ref="B40:H40"/>
    <mergeCell ref="B41:H41"/>
    <mergeCell ref="B52:H52"/>
    <mergeCell ref="B58:H58"/>
    <mergeCell ref="B63:H63"/>
    <mergeCell ref="B65:H65"/>
    <mergeCell ref="B66:H66"/>
    <mergeCell ref="B72:H72"/>
    <mergeCell ref="B74:H74"/>
    <mergeCell ref="B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6"/>
    <col collapsed="false" customWidth="true" hidden="false" outlineLevel="0" max="9" min="8" style="1" width="28"/>
    <col collapsed="false" customWidth="true" hidden="false" outlineLevel="0" max="10" min="10" style="1" width="4"/>
  </cols>
  <sheetData>
    <row r="1" customFormat="false" ht="24" hidden="false" customHeight="true" outlineLevel="0" collapsed="false">
      <c r="B1" s="13" t="s">
        <v>236</v>
      </c>
      <c r="C1" s="13"/>
      <c r="D1" s="13"/>
      <c r="E1" s="13"/>
      <c r="F1" s="13"/>
      <c r="G1" s="13"/>
      <c r="H1" s="13"/>
      <c r="I1" s="13"/>
    </row>
    <row r="3" customFormat="false" ht="24" hidden="false" customHeight="true" outlineLevel="0" collapsed="false">
      <c r="B3" s="14" t="s">
        <v>237</v>
      </c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B4" s="7" t="s">
        <v>189</v>
      </c>
      <c r="C4" s="7" t="s">
        <v>190</v>
      </c>
      <c r="D4" s="7" t="s">
        <v>238</v>
      </c>
      <c r="E4" s="7" t="s">
        <v>83</v>
      </c>
      <c r="F4" s="7" t="s">
        <v>239</v>
      </c>
      <c r="G4" s="7" t="s">
        <v>240</v>
      </c>
      <c r="H4" s="7" t="s">
        <v>241</v>
      </c>
    </row>
    <row r="5" customFormat="false" ht="15" hidden="false" customHeight="true" outlineLevel="0" collapsed="false">
      <c r="B5" s="16" t="s">
        <v>191</v>
      </c>
      <c r="C5" s="16" t="s">
        <v>192</v>
      </c>
      <c r="D5" s="16" t="s">
        <v>166</v>
      </c>
      <c r="E5" s="16" t="s">
        <v>86</v>
      </c>
      <c r="F5" s="16" t="n">
        <v>2</v>
      </c>
      <c r="G5" s="16" t="n">
        <v>75000</v>
      </c>
      <c r="H5" s="16" t="n">
        <v>150000</v>
      </c>
    </row>
    <row r="6" customFormat="false" ht="15" hidden="false" customHeight="true" outlineLevel="0" collapsed="false">
      <c r="B6" s="17" t="s">
        <v>193</v>
      </c>
      <c r="C6" s="17" t="s">
        <v>194</v>
      </c>
      <c r="D6" s="17" t="s">
        <v>169</v>
      </c>
      <c r="E6" s="17" t="s">
        <v>87</v>
      </c>
      <c r="F6" s="17" t="n">
        <v>10</v>
      </c>
      <c r="G6" s="17" t="n">
        <v>500</v>
      </c>
      <c r="H6" s="17" t="n">
        <v>5000</v>
      </c>
    </row>
    <row r="7" customFormat="false" ht="15" hidden="false" customHeight="true" outlineLevel="0" collapsed="false">
      <c r="B7" s="16" t="s">
        <v>195</v>
      </c>
      <c r="C7" s="16" t="s">
        <v>192</v>
      </c>
      <c r="D7" s="16" t="s">
        <v>166</v>
      </c>
      <c r="E7" s="16" t="s">
        <v>88</v>
      </c>
      <c r="F7" s="16" t="n">
        <v>1</v>
      </c>
      <c r="G7" s="16" t="n">
        <v>75000</v>
      </c>
      <c r="H7" s="16" t="n">
        <v>75000</v>
      </c>
    </row>
    <row r="8" customFormat="false" ht="15" hidden="false" customHeight="true" outlineLevel="0" collapsed="false">
      <c r="B8" s="17" t="s">
        <v>196</v>
      </c>
      <c r="C8" s="17" t="s">
        <v>192</v>
      </c>
      <c r="D8" s="17" t="s">
        <v>172</v>
      </c>
      <c r="E8" s="17" t="s">
        <v>86</v>
      </c>
      <c r="F8" s="17" t="n">
        <v>5</v>
      </c>
      <c r="G8" s="17" t="n">
        <v>1200</v>
      </c>
      <c r="H8" s="17" t="n">
        <v>6000</v>
      </c>
    </row>
    <row r="9" customFormat="false" ht="15" hidden="false" customHeight="true" outlineLevel="0" collapsed="false">
      <c r="B9" s="16" t="s">
        <v>198</v>
      </c>
      <c r="C9" s="16" t="s">
        <v>194</v>
      </c>
      <c r="D9" s="16" t="s">
        <v>166</v>
      </c>
      <c r="E9" s="16" t="s">
        <v>87</v>
      </c>
      <c r="F9" s="16" t="n">
        <v>3</v>
      </c>
      <c r="G9" s="16" t="n">
        <v>75000</v>
      </c>
      <c r="H9" s="16" t="n">
        <v>225000</v>
      </c>
    </row>
    <row r="10" customFormat="false" ht="15" hidden="false" customHeight="true" outlineLevel="0" collapsed="false">
      <c r="B10" s="17" t="s">
        <v>242</v>
      </c>
      <c r="C10" s="17" t="s">
        <v>192</v>
      </c>
      <c r="D10" s="17" t="s">
        <v>169</v>
      </c>
      <c r="E10" s="17" t="s">
        <v>88</v>
      </c>
      <c r="F10" s="17" t="n">
        <v>20</v>
      </c>
      <c r="G10" s="17" t="n">
        <v>500</v>
      </c>
      <c r="H10" s="17" t="n">
        <v>10000</v>
      </c>
    </row>
    <row r="11" customFormat="false" ht="15" hidden="false" customHeight="true" outlineLevel="0" collapsed="false">
      <c r="B11" s="16" t="s">
        <v>243</v>
      </c>
      <c r="C11" s="16" t="s">
        <v>197</v>
      </c>
      <c r="D11" s="16" t="s">
        <v>166</v>
      </c>
      <c r="E11" s="16" t="s">
        <v>86</v>
      </c>
      <c r="F11" s="16" t="n">
        <v>2</v>
      </c>
      <c r="G11" s="16" t="n">
        <v>75000</v>
      </c>
      <c r="H11" s="16" t="n">
        <v>150000</v>
      </c>
    </row>
    <row r="12" customFormat="false" ht="15" hidden="false" customHeight="true" outlineLevel="0" collapsed="false">
      <c r="B12" s="17" t="s">
        <v>244</v>
      </c>
      <c r="C12" s="17" t="s">
        <v>194</v>
      </c>
      <c r="D12" s="17" t="s">
        <v>172</v>
      </c>
      <c r="E12" s="17" t="s">
        <v>87</v>
      </c>
      <c r="F12" s="17" t="n">
        <v>8</v>
      </c>
      <c r="G12" s="17" t="n">
        <v>1200</v>
      </c>
      <c r="H12" s="17" t="n">
        <v>9600</v>
      </c>
    </row>
    <row r="13" customFormat="false" ht="15" hidden="false" customHeight="true" outlineLevel="0" collapsed="false">
      <c r="B13" s="16" t="s">
        <v>245</v>
      </c>
      <c r="C13" s="16" t="s">
        <v>192</v>
      </c>
      <c r="D13" s="16" t="s">
        <v>166</v>
      </c>
      <c r="E13" s="16" t="s">
        <v>88</v>
      </c>
      <c r="F13" s="16" t="n">
        <v>1</v>
      </c>
      <c r="G13" s="16" t="n">
        <v>75000</v>
      </c>
      <c r="H13" s="16" t="n">
        <v>75000</v>
      </c>
    </row>
    <row r="14" customFormat="false" ht="15" hidden="false" customHeight="true" outlineLevel="0" collapsed="false">
      <c r="B14" s="17" t="s">
        <v>246</v>
      </c>
      <c r="C14" s="17" t="s">
        <v>197</v>
      </c>
      <c r="D14" s="17" t="s">
        <v>169</v>
      </c>
      <c r="E14" s="17" t="s">
        <v>86</v>
      </c>
      <c r="F14" s="17" t="n">
        <v>15</v>
      </c>
      <c r="G14" s="17" t="n">
        <v>500</v>
      </c>
      <c r="H14" s="17" t="n">
        <v>7500</v>
      </c>
    </row>
    <row r="17" customFormat="false" ht="24" hidden="false" customHeight="true" outlineLevel="0" collapsed="false">
      <c r="B17" s="14" t="s">
        <v>247</v>
      </c>
      <c r="C17" s="14"/>
      <c r="D17" s="14"/>
      <c r="E17" s="14"/>
      <c r="F17" s="14"/>
      <c r="G17" s="14"/>
      <c r="H17" s="14"/>
      <c r="I17" s="14"/>
    </row>
    <row r="18" customFormat="false" ht="31.5" hidden="false" customHeight="true" outlineLevel="0" collapsed="false">
      <c r="B18" s="15" t="s">
        <v>248</v>
      </c>
      <c r="C18" s="15"/>
      <c r="D18" s="15"/>
      <c r="E18" s="15"/>
      <c r="F18" s="15"/>
      <c r="G18" s="15"/>
      <c r="H18" s="15"/>
      <c r="I18" s="15"/>
    </row>
    <row r="19" customFormat="false" ht="23.25" hidden="false" customHeight="true" outlineLevel="0" collapsed="false">
      <c r="B19" s="7" t="s">
        <v>190</v>
      </c>
      <c r="C19" s="7" t="s">
        <v>238</v>
      </c>
      <c r="D19" s="7" t="s">
        <v>249</v>
      </c>
      <c r="E19" s="7" t="s">
        <v>250</v>
      </c>
    </row>
    <row r="20" customFormat="false" ht="15" hidden="false" customHeight="true" outlineLevel="0" collapsed="false">
      <c r="B20" s="16" t="s">
        <v>192</v>
      </c>
      <c r="C20" s="16" t="s">
        <v>166</v>
      </c>
      <c r="D20" s="18" t="n">
        <f aca="false">SUMIFS($H$5:$H$14,$C$5:$C$14,B20,$D$5:$D$14,C20)</f>
        <v>300000</v>
      </c>
      <c r="E20" s="18" t="n">
        <f aca="false">SUMIFS($F$5:$F$14,$C$5:$C$14,B20,$D$5:$D$14,C20)</f>
        <v>4</v>
      </c>
    </row>
    <row r="21" customFormat="false" ht="15" hidden="false" customHeight="true" outlineLevel="0" collapsed="false">
      <c r="B21" s="17" t="s">
        <v>194</v>
      </c>
      <c r="C21" s="17" t="s">
        <v>169</v>
      </c>
      <c r="D21" s="18" t="n">
        <f aca="false">SUMIFS($H$5:$H$14,$C$5:$C$14,B21,$D$5:$D$14,C21)</f>
        <v>5000</v>
      </c>
      <c r="E21" s="18" t="n">
        <f aca="false">SUMIFS($F$5:$F$14,$C$5:$C$14,B21,$D$5:$D$14,C21)</f>
        <v>10</v>
      </c>
    </row>
    <row r="22" customFormat="false" ht="15" hidden="false" customHeight="true" outlineLevel="0" collapsed="false">
      <c r="B22" s="16" t="s">
        <v>197</v>
      </c>
      <c r="C22" s="16" t="s">
        <v>166</v>
      </c>
      <c r="D22" s="18" t="n">
        <f aca="false">SUMIFS($H$5:$H$14,$C$5:$C$14,B22,$D$5:$D$14,C22)</f>
        <v>150000</v>
      </c>
      <c r="E22" s="18" t="n">
        <f aca="false">SUMIFS($F$5:$F$14,$C$5:$C$14,B22,$D$5:$D$14,C22)</f>
        <v>2</v>
      </c>
    </row>
    <row r="23" customFormat="false" ht="15" hidden="false" customHeight="true" outlineLevel="0" collapsed="false">
      <c r="B23" s="17" t="s">
        <v>192</v>
      </c>
      <c r="C23" s="17" t="s">
        <v>172</v>
      </c>
      <c r="D23" s="18" t="n">
        <f aca="false">SUMIFS($H$5:$H$14,$C$5:$C$14,B23,$D$5:$D$14,C23)</f>
        <v>6000</v>
      </c>
      <c r="E23" s="18" t="n">
        <f aca="false">SUMIFS($F$5:$F$14,$C$5:$C$14,B23,$D$5:$D$14,C23)</f>
        <v>5</v>
      </c>
    </row>
    <row r="24" customFormat="false" ht="15" hidden="false" customHeight="true" outlineLevel="0" collapsed="false">
      <c r="B24" s="16" t="s">
        <v>194</v>
      </c>
      <c r="C24" s="16" t="s">
        <v>172</v>
      </c>
      <c r="D24" s="18" t="n">
        <f aca="false">SUMIFS($H$5:$H$14,$C$5:$C$14,B24,$D$5:$D$14,C24)</f>
        <v>9600</v>
      </c>
      <c r="E24" s="18" t="n">
        <f aca="false">SUMIFS($F$5:$F$14,$C$5:$C$14,B24,$D$5:$D$14,C24)</f>
        <v>8</v>
      </c>
    </row>
    <row r="25" customFormat="false" ht="27.75" hidden="false" customHeight="true" outlineLevel="0" collapsed="false">
      <c r="B25" s="12" t="s">
        <v>251</v>
      </c>
      <c r="C25" s="12"/>
      <c r="D25" s="12"/>
      <c r="E25" s="12"/>
      <c r="F25" s="12"/>
      <c r="G25" s="12"/>
      <c r="H25" s="12"/>
      <c r="I25" s="12"/>
    </row>
    <row r="27" customFormat="false" ht="31.5" hidden="false" customHeight="true" outlineLevel="0" collapsed="false">
      <c r="B27" s="15" t="s">
        <v>252</v>
      </c>
      <c r="C27" s="15"/>
      <c r="D27" s="15"/>
      <c r="E27" s="15"/>
      <c r="F27" s="15"/>
      <c r="G27" s="15"/>
      <c r="H27" s="15"/>
      <c r="I27" s="15"/>
    </row>
    <row r="28" customFormat="false" ht="23.25" hidden="false" customHeight="true" outlineLevel="0" collapsed="false">
      <c r="B28" s="7" t="s">
        <v>83</v>
      </c>
      <c r="C28" s="7" t="s">
        <v>253</v>
      </c>
      <c r="D28" s="7" t="s">
        <v>254</v>
      </c>
      <c r="E28" s="7" t="s">
        <v>255</v>
      </c>
    </row>
    <row r="29" customFormat="false" ht="15" hidden="false" customHeight="true" outlineLevel="0" collapsed="false">
      <c r="B29" s="16" t="s">
        <v>86</v>
      </c>
      <c r="C29" s="18" t="n">
        <f aca="false">SUMIFS($H$5:$H$14,$E$5:$E$14,B29,$B$5:$B$14,"&gt;="&amp;"2024-01-01",$B$5:$B$14,"&lt;="&amp;"2024-01-31")</f>
        <v>0</v>
      </c>
      <c r="D29" s="18" t="n">
        <f aca="false">SUMIFS($H$5:$H$14,$E$5:$E$14,B29,$B$5:$B$14,"&gt;="&amp;"2024-02-01",$B$5:$B$14,"&lt;="&amp;"2024-02-29")</f>
        <v>0</v>
      </c>
      <c r="E29" s="18" t="n">
        <f aca="false">C29+D29</f>
        <v>0</v>
      </c>
    </row>
    <row r="30" customFormat="false" ht="15" hidden="false" customHeight="true" outlineLevel="0" collapsed="false">
      <c r="B30" s="17" t="s">
        <v>87</v>
      </c>
      <c r="C30" s="18" t="n">
        <f aca="false">SUMIFS($H$5:$H$14,$E$5:$E$14,B30,$B$5:$B$14,"&gt;="&amp;"2024-01-01",$B$5:$B$14,"&lt;="&amp;"2024-01-31")</f>
        <v>0</v>
      </c>
      <c r="D30" s="18" t="n">
        <f aca="false">SUMIFS($H$5:$H$14,$E$5:$E$14,B30,$B$5:$B$14,"&gt;="&amp;"2024-02-01",$B$5:$B$14,"&lt;="&amp;"2024-02-29")</f>
        <v>0</v>
      </c>
      <c r="E30" s="18" t="n">
        <f aca="false">C30+D30</f>
        <v>0</v>
      </c>
    </row>
    <row r="31" customFormat="false" ht="15" hidden="false" customHeight="true" outlineLevel="0" collapsed="false">
      <c r="B31" s="16" t="s">
        <v>88</v>
      </c>
      <c r="C31" s="18" t="n">
        <f aca="false">SUMIFS($H$5:$H$14,$E$5:$E$14,B31,$B$5:$B$14,"&gt;="&amp;"2024-01-01",$B$5:$B$14,"&lt;="&amp;"2024-01-31")</f>
        <v>0</v>
      </c>
      <c r="D31" s="18" t="n">
        <f aca="false">SUMIFS($H$5:$H$14,$E$5:$E$14,B31,$B$5:$B$14,"&gt;="&amp;"2024-02-01",$B$5:$B$14,"&lt;="&amp;"2024-02-29")</f>
        <v>0</v>
      </c>
      <c r="E31" s="18" t="n">
        <f aca="false">C31+D31</f>
        <v>0</v>
      </c>
    </row>
    <row r="33" customFormat="false" ht="24" hidden="false" customHeight="true" outlineLevel="0" collapsed="false">
      <c r="B33" s="14" t="s">
        <v>256</v>
      </c>
      <c r="C33" s="14"/>
      <c r="D33" s="14"/>
      <c r="E33" s="14"/>
      <c r="F33" s="14"/>
      <c r="G33" s="14"/>
      <c r="H33" s="14"/>
      <c r="I33" s="14"/>
    </row>
    <row r="34" customFormat="false" ht="31.5" hidden="false" customHeight="true" outlineLevel="0" collapsed="false">
      <c r="B34" s="15" t="s">
        <v>257</v>
      </c>
      <c r="C34" s="15"/>
      <c r="D34" s="15"/>
      <c r="E34" s="15"/>
      <c r="F34" s="15"/>
      <c r="G34" s="15"/>
      <c r="H34" s="15"/>
      <c r="I34" s="15"/>
    </row>
    <row r="35" customFormat="false" ht="34.5" hidden="false" customHeight="true" outlineLevel="0" collapsed="false">
      <c r="B35" s="7" t="s">
        <v>190</v>
      </c>
      <c r="C35" s="7" t="s">
        <v>238</v>
      </c>
      <c r="D35" s="7" t="s">
        <v>258</v>
      </c>
    </row>
    <row r="36" customFormat="false" ht="15" hidden="false" customHeight="true" outlineLevel="0" collapsed="false">
      <c r="B36" s="16" t="s">
        <v>192</v>
      </c>
      <c r="C36" s="16" t="s">
        <v>166</v>
      </c>
      <c r="D36" s="18" t="n">
        <f aca="false">COUNTIFS($C$5:$C$14,B36,$D$5:$D$14,C36)</f>
        <v>3</v>
      </c>
    </row>
    <row r="37" customFormat="false" ht="15" hidden="false" customHeight="true" outlineLevel="0" collapsed="false">
      <c r="B37" s="17" t="s">
        <v>194</v>
      </c>
      <c r="C37" s="17" t="s">
        <v>169</v>
      </c>
      <c r="D37" s="18" t="n">
        <f aca="false">COUNTIFS($C$5:$C$14,B37,$D$5:$D$14,C37)</f>
        <v>1</v>
      </c>
    </row>
    <row r="38" customFormat="false" ht="15" hidden="false" customHeight="true" outlineLevel="0" collapsed="false">
      <c r="B38" s="16" t="s">
        <v>197</v>
      </c>
      <c r="C38" s="16" t="s">
        <v>166</v>
      </c>
      <c r="D38" s="18" t="n">
        <f aca="false">COUNTIFS($C$5:$C$14,B38,$D$5:$D$14,C38)</f>
        <v>1</v>
      </c>
    </row>
    <row r="39" customFormat="false" ht="15" hidden="false" customHeight="true" outlineLevel="0" collapsed="false">
      <c r="B39" s="17" t="s">
        <v>192</v>
      </c>
      <c r="C39" s="17" t="s">
        <v>172</v>
      </c>
      <c r="D39" s="18" t="n">
        <f aca="false">COUNTIFS($C$5:$C$14,B39,$D$5:$D$14,C39)</f>
        <v>1</v>
      </c>
    </row>
    <row r="42" customFormat="false" ht="31.5" hidden="false" customHeight="true" outlineLevel="0" collapsed="false">
      <c r="B42" s="15" t="s">
        <v>259</v>
      </c>
      <c r="C42" s="15"/>
      <c r="D42" s="15"/>
      <c r="E42" s="15"/>
      <c r="F42" s="15"/>
      <c r="G42" s="15"/>
      <c r="H42" s="15"/>
      <c r="I42" s="15"/>
    </row>
    <row r="43" customFormat="false" ht="23.25" hidden="false" customHeight="true" outlineLevel="0" collapsed="false">
      <c r="B43" s="7" t="s">
        <v>260</v>
      </c>
      <c r="C43" s="7" t="s">
        <v>261</v>
      </c>
      <c r="D43" s="7" t="s">
        <v>262</v>
      </c>
      <c r="E43" s="7" t="s">
        <v>263</v>
      </c>
    </row>
    <row r="44" customFormat="false" ht="15" hidden="false" customHeight="true" outlineLevel="0" collapsed="false">
      <c r="B44" s="16" t="s">
        <v>264</v>
      </c>
      <c r="C44" s="16" t="n">
        <v>0</v>
      </c>
      <c r="D44" s="16" t="n">
        <v>10000</v>
      </c>
      <c r="E44" s="18" t="n">
        <f aca="false">COUNTIFS($H$5:$H$14,"&gt;="&amp;C44,$H$5:$H$14,"&lt;="&amp;D44)</f>
        <v>5</v>
      </c>
    </row>
    <row r="45" customFormat="false" ht="15" hidden="false" customHeight="true" outlineLevel="0" collapsed="false">
      <c r="B45" s="17" t="s">
        <v>265</v>
      </c>
      <c r="C45" s="17" t="n">
        <v>10001</v>
      </c>
      <c r="D45" s="17" t="n">
        <v>100000</v>
      </c>
      <c r="E45" s="18" t="n">
        <f aca="false">COUNTIFS($H$5:$H$14,"&gt;="&amp;C45,$H$5:$H$14,"&lt;="&amp;D45)</f>
        <v>2</v>
      </c>
    </row>
    <row r="46" customFormat="false" ht="15" hidden="false" customHeight="true" outlineLevel="0" collapsed="false">
      <c r="B46" s="16" t="s">
        <v>266</v>
      </c>
      <c r="C46" s="16" t="n">
        <v>100001</v>
      </c>
      <c r="D46" s="16" t="n">
        <v>999999</v>
      </c>
      <c r="E46" s="18" t="n">
        <f aca="false">COUNTIFS($H$5:$H$14,"&gt;="&amp;C46,$H$5:$H$14,"&lt;="&amp;D46)</f>
        <v>3</v>
      </c>
    </row>
    <row r="49" customFormat="false" ht="24" hidden="false" customHeight="true" outlineLevel="0" collapsed="false">
      <c r="B49" s="14" t="s">
        <v>267</v>
      </c>
      <c r="C49" s="14"/>
      <c r="D49" s="14"/>
      <c r="E49" s="14"/>
      <c r="F49" s="14"/>
      <c r="G49" s="14"/>
      <c r="H49" s="14"/>
      <c r="I49" s="14"/>
    </row>
    <row r="50" customFormat="false" ht="31.5" hidden="false" customHeight="true" outlineLevel="0" collapsed="false">
      <c r="B50" s="15" t="s">
        <v>268</v>
      </c>
      <c r="C50" s="15"/>
      <c r="D50" s="15"/>
      <c r="E50" s="15"/>
      <c r="F50" s="15"/>
      <c r="G50" s="15"/>
      <c r="H50" s="15"/>
      <c r="I50" s="15"/>
    </row>
    <row r="51" customFormat="false" ht="34.5" hidden="false" customHeight="true" outlineLevel="0" collapsed="false">
      <c r="B51" s="7" t="s">
        <v>114</v>
      </c>
      <c r="C51" s="7" t="s">
        <v>269</v>
      </c>
      <c r="D51" s="7" t="s">
        <v>270</v>
      </c>
    </row>
    <row r="52" customFormat="false" ht="15" hidden="false" customHeight="true" outlineLevel="0" collapsed="false">
      <c r="B52" s="16" t="s">
        <v>165</v>
      </c>
      <c r="C52" s="20" t="n">
        <v>75000</v>
      </c>
      <c r="D52" s="18" t="n">
        <v>75000</v>
      </c>
    </row>
    <row r="53" customFormat="false" ht="34.5" hidden="false" customHeight="true" outlineLevel="0" collapsed="false">
      <c r="B53" s="17" t="s">
        <v>271</v>
      </c>
      <c r="C53" s="21" t="s">
        <v>272</v>
      </c>
      <c r="D53" s="18" t="s">
        <v>273</v>
      </c>
    </row>
    <row r="54" customFormat="false" ht="15" hidden="false" customHeight="true" outlineLevel="0" collapsed="false">
      <c r="B54" s="16" t="s">
        <v>171</v>
      </c>
      <c r="C54" s="20" t="n">
        <v>1200</v>
      </c>
      <c r="D54" s="18" t="n">
        <v>1200</v>
      </c>
    </row>
    <row r="55" customFormat="false" ht="34.5" hidden="false" customHeight="true" outlineLevel="0" collapsed="false">
      <c r="B55" s="17" t="s">
        <v>185</v>
      </c>
      <c r="C55" s="21" t="s">
        <v>272</v>
      </c>
      <c r="D55" s="18" t="s">
        <v>273</v>
      </c>
    </row>
    <row r="56" customFormat="false" ht="15" hidden="false" customHeight="true" outlineLevel="0" collapsed="false">
      <c r="B56" s="16" t="s">
        <v>175</v>
      </c>
      <c r="C56" s="20" t="n">
        <v>3500</v>
      </c>
      <c r="D56" s="18" t="n">
        <v>3500</v>
      </c>
    </row>
    <row r="57" customFormat="false" ht="27.75" hidden="false" customHeight="true" outlineLevel="0" collapsed="false">
      <c r="B57" s="12" t="s">
        <v>274</v>
      </c>
      <c r="C57" s="12"/>
      <c r="D57" s="12"/>
      <c r="E57" s="12"/>
      <c r="F57" s="12"/>
      <c r="G57" s="12"/>
      <c r="H57" s="12"/>
      <c r="I57" s="12"/>
    </row>
    <row r="59" customFormat="false" ht="31.5" hidden="false" customHeight="true" outlineLevel="0" collapsed="false">
      <c r="B59" s="15" t="s">
        <v>275</v>
      </c>
      <c r="C59" s="15"/>
      <c r="D59" s="15"/>
      <c r="E59" s="15"/>
      <c r="F59" s="15"/>
      <c r="G59" s="15"/>
      <c r="H59" s="15"/>
      <c r="I59" s="15"/>
    </row>
    <row r="60" customFormat="false" ht="23.25" hidden="false" customHeight="true" outlineLevel="0" collapsed="false">
      <c r="B60" s="7" t="s">
        <v>83</v>
      </c>
      <c r="C60" s="7" t="s">
        <v>154</v>
      </c>
      <c r="D60" s="7" t="s">
        <v>276</v>
      </c>
      <c r="E60" s="7" t="s">
        <v>277</v>
      </c>
      <c r="F60" s="7" t="s">
        <v>278</v>
      </c>
    </row>
    <row r="61" customFormat="false" ht="15" hidden="false" customHeight="true" outlineLevel="0" collapsed="false">
      <c r="B61" s="16" t="s">
        <v>86</v>
      </c>
      <c r="C61" s="16" t="n">
        <v>150000</v>
      </c>
      <c r="D61" s="16" t="n">
        <v>100000</v>
      </c>
      <c r="E61" s="20" t="n">
        <v>1.5</v>
      </c>
      <c r="F61" s="18" t="n">
        <f aca="false">IFERROR(C61/D61,"No Target Set")</f>
        <v>1.5</v>
      </c>
    </row>
    <row r="62" customFormat="false" ht="15" hidden="false" customHeight="true" outlineLevel="0" collapsed="false">
      <c r="B62" s="17" t="s">
        <v>87</v>
      </c>
      <c r="C62" s="17" t="n">
        <v>80000</v>
      </c>
      <c r="D62" s="17" t="n">
        <v>0</v>
      </c>
      <c r="E62" s="21" t="s">
        <v>279</v>
      </c>
      <c r="F62" s="18" t="str">
        <f aca="false">IFERROR(C62/D62,"No Target Set")</f>
        <v>No Target Set</v>
      </c>
    </row>
    <row r="63" customFormat="false" ht="15" hidden="false" customHeight="true" outlineLevel="0" collapsed="false">
      <c r="B63" s="16" t="s">
        <v>88</v>
      </c>
      <c r="C63" s="16" t="n">
        <v>120000</v>
      </c>
      <c r="D63" s="16" t="n">
        <v>100000</v>
      </c>
      <c r="E63" s="20" t="n">
        <v>1.2</v>
      </c>
      <c r="F63" s="18" t="n">
        <f aca="false">IFERROR(C63/D63,"No Target Set")</f>
        <v>1.2</v>
      </c>
    </row>
    <row r="64" customFormat="false" ht="15" hidden="false" customHeight="true" outlineLevel="0" collapsed="false">
      <c r="B64" s="17" t="s">
        <v>89</v>
      </c>
      <c r="C64" s="17" t="n">
        <v>0</v>
      </c>
      <c r="D64" s="17" t="n">
        <v>0</v>
      </c>
      <c r="E64" s="21" t="s">
        <v>279</v>
      </c>
      <c r="F64" s="18" t="str">
        <f aca="false">IFERROR(C64/D64,"No Target Set")</f>
        <v>No Target Set</v>
      </c>
    </row>
    <row r="65" customFormat="false" ht="15" hidden="false" customHeight="true" outlineLevel="0" collapsed="false">
      <c r="B65" s="16" t="s">
        <v>90</v>
      </c>
      <c r="C65" s="16" t="n">
        <v>95000</v>
      </c>
      <c r="D65" s="16" t="n">
        <v>100000</v>
      </c>
      <c r="E65" s="20" t="n">
        <v>0.95</v>
      </c>
      <c r="F65" s="18" t="n">
        <f aca="false">IFERROR(C65/D65,"No Target Set")</f>
        <v>0.95</v>
      </c>
    </row>
    <row r="68" customFormat="false" ht="24" hidden="false" customHeight="true" outlineLevel="0" collapsed="false">
      <c r="B68" s="14" t="s">
        <v>280</v>
      </c>
      <c r="C68" s="14"/>
      <c r="D68" s="14"/>
      <c r="E68" s="14"/>
      <c r="F68" s="14"/>
      <c r="G68" s="14"/>
      <c r="H68" s="14"/>
      <c r="I68" s="14"/>
    </row>
    <row r="69" customFormat="false" ht="31.5" hidden="false" customHeight="true" outlineLevel="0" collapsed="false">
      <c r="B69" s="15" t="s">
        <v>281</v>
      </c>
      <c r="C69" s="15"/>
      <c r="D69" s="15"/>
      <c r="E69" s="15"/>
      <c r="F69" s="15"/>
      <c r="G69" s="15"/>
      <c r="H69" s="15"/>
      <c r="I69" s="15"/>
    </row>
    <row r="70" customFormat="false" ht="23.25" hidden="false" customHeight="true" outlineLevel="0" collapsed="false">
      <c r="B70" s="7" t="s">
        <v>121</v>
      </c>
      <c r="C70" s="7" t="s">
        <v>282</v>
      </c>
      <c r="D70" s="7" t="s">
        <v>283</v>
      </c>
      <c r="E70" s="7" t="s">
        <v>284</v>
      </c>
      <c r="F70" s="7" t="s">
        <v>285</v>
      </c>
      <c r="G70" s="7" t="s">
        <v>286</v>
      </c>
    </row>
    <row r="71" customFormat="false" ht="15" hidden="false" customHeight="true" outlineLevel="0" collapsed="false">
      <c r="B71" s="16" t="s">
        <v>130</v>
      </c>
      <c r="C71" s="18" t="str">
        <f aca="false">LEFT(B71,4)</f>
        <v>0300</v>
      </c>
      <c r="D71" s="18" t="str">
        <f aca="false">RIGHT(B71,5)</f>
        <v>34567</v>
      </c>
      <c r="E71" s="18" t="str">
        <f aca="false">MID(B71,6,4)</f>
        <v>1234</v>
      </c>
      <c r="F71" s="18" t="str">
        <f aca="false">TRIM(B71)</f>
        <v>0300-1234567</v>
      </c>
      <c r="G71" s="18" t="n">
        <f aca="false">LEN(TRIM(B71))</f>
        <v>12</v>
      </c>
    </row>
    <row r="72" customFormat="false" ht="15" hidden="false" customHeight="true" outlineLevel="0" collapsed="false">
      <c r="B72" s="17" t="s">
        <v>287</v>
      </c>
      <c r="C72" s="18" t="str">
        <f aca="false">LEFT(B72,4)</f>
        <v>PKR-</v>
      </c>
      <c r="D72" s="18" t="str">
        <f aca="false">RIGHT(B72,5)</f>
        <v>87766</v>
      </c>
      <c r="E72" s="18" t="str">
        <f aca="false">MID(B72,6,4)</f>
        <v>9887</v>
      </c>
      <c r="F72" s="18" t="str">
        <f aca="false">TRIM(B72)</f>
        <v>PKR-99887766</v>
      </c>
      <c r="G72" s="18" t="n">
        <f aca="false">LEN(TRIM(B72))</f>
        <v>12</v>
      </c>
    </row>
    <row r="73" customFormat="false" ht="15" hidden="false" customHeight="true" outlineLevel="0" collapsed="false">
      <c r="B73" s="16" t="s">
        <v>288</v>
      </c>
      <c r="C73" s="18" t="str">
        <f aca="false">LEFT(B73,4)</f>
        <v>REF-</v>
      </c>
      <c r="D73" s="18" t="str">
        <f aca="false">RIGHT(B73,5)</f>
        <v>4-JAN</v>
      </c>
      <c r="E73" s="18" t="str">
        <f aca="false">MID(B73,6,4)</f>
        <v>024-</v>
      </c>
      <c r="F73" s="18" t="str">
        <f aca="false">TRIM(B73)</f>
        <v>REF-2024-JAN</v>
      </c>
      <c r="G73" s="18" t="n">
        <f aca="false">LEN(TRIM(B73))</f>
        <v>12</v>
      </c>
    </row>
    <row r="74" customFormat="false" ht="15" hidden="false" customHeight="true" outlineLevel="0" collapsed="false">
      <c r="B74" s="17" t="s">
        <v>289</v>
      </c>
      <c r="C74" s="18" t="str">
        <f aca="false">LEFT(B74,4)</f>
        <v>  Sa</v>
      </c>
      <c r="D74" s="18" t="str">
        <f aca="false">RIGHT(B74,5)</f>
        <v>med  </v>
      </c>
      <c r="E74" s="18" t="str">
        <f aca="false">MID(B74,6,4)</f>
        <v>a Ah</v>
      </c>
      <c r="F74" s="18" t="str">
        <f aca="false">TRIM(B74)</f>
        <v>Sara Ahmed</v>
      </c>
      <c r="G74" s="18" t="n">
        <f aca="false">LEN(TRIM(B74))</f>
        <v>10</v>
      </c>
    </row>
    <row r="75" customFormat="false" ht="15" hidden="false" customHeight="true" outlineLevel="0" collapsed="false">
      <c r="B75" s="16" t="s">
        <v>290</v>
      </c>
      <c r="C75" s="18" t="str">
        <f aca="false">LEFT(B75,4)</f>
        <v>PROD</v>
      </c>
      <c r="D75" s="18" t="str">
        <f aca="false">RIGHT(B75,5)</f>
        <v>E-XYZ</v>
      </c>
      <c r="E75" s="18" t="str">
        <f aca="false">MID(B75,6,4)</f>
        <v>CODE</v>
      </c>
      <c r="F75" s="18" t="str">
        <f aca="false">TRIM(B75)</f>
        <v>PROD-CODE-XYZ</v>
      </c>
      <c r="G75" s="18" t="n">
        <f aca="false">LEN(TRIM(B75))</f>
        <v>13</v>
      </c>
    </row>
    <row r="76" customFormat="false" ht="27.75" hidden="false" customHeight="true" outlineLevel="0" collapsed="false">
      <c r="B76" s="12" t="s">
        <v>291</v>
      </c>
      <c r="C76" s="12"/>
      <c r="D76" s="12"/>
      <c r="E76" s="12"/>
      <c r="F76" s="12"/>
      <c r="G76" s="12"/>
      <c r="H76" s="12"/>
      <c r="I76" s="12"/>
    </row>
    <row r="78" customFormat="false" ht="31.5" hidden="false" customHeight="true" outlineLevel="0" collapsed="false">
      <c r="B78" s="15" t="s">
        <v>292</v>
      </c>
      <c r="C78" s="15"/>
      <c r="D78" s="15"/>
      <c r="E78" s="15"/>
      <c r="F78" s="15"/>
      <c r="G78" s="15"/>
      <c r="H78" s="15"/>
      <c r="I78" s="15"/>
    </row>
    <row r="79" customFormat="false" ht="23.25" hidden="false" customHeight="true" outlineLevel="0" collapsed="false">
      <c r="B79" s="7" t="s">
        <v>293</v>
      </c>
      <c r="C79" s="7" t="s">
        <v>294</v>
      </c>
      <c r="D79" s="7" t="s">
        <v>295</v>
      </c>
    </row>
    <row r="80" customFormat="false" ht="23.25" hidden="false" customHeight="true" outlineLevel="0" collapsed="false">
      <c r="B80" s="16" t="s">
        <v>296</v>
      </c>
      <c r="C80" s="18" t="str">
        <f aca="false">LEFT(B80,FIND("@",B80)-1)</f>
        <v>ahmed.khan</v>
      </c>
      <c r="D80" s="18" t="str">
        <f aca="false">MID(B80,FIND("@",B80)+1,LEN(B80))</f>
        <v>company.com</v>
      </c>
    </row>
    <row r="81" customFormat="false" ht="15" hidden="false" customHeight="true" outlineLevel="0" collapsed="false">
      <c r="B81" s="17" t="s">
        <v>297</v>
      </c>
      <c r="C81" s="18" t="str">
        <f aca="false">LEFT(B81,FIND("@",B81)-1)</f>
        <v>sara.ali</v>
      </c>
      <c r="D81" s="18" t="str">
        <f aca="false">MID(B81,FIND("@",B81)+1,LEN(B81))</f>
        <v>gmail.com</v>
      </c>
    </row>
    <row r="82" customFormat="false" ht="15" hidden="false" customHeight="true" outlineLevel="0" collapsed="false">
      <c r="B82" s="16" t="s">
        <v>298</v>
      </c>
      <c r="C82" s="18" t="str">
        <f aca="false">LEFT(B82,FIND("@",B82)-1)</f>
        <v>zain</v>
      </c>
      <c r="D82" s="18" t="str">
        <f aca="false">MID(B82,FIND("@",B82)+1,LEN(B82))</f>
        <v>outlook.com</v>
      </c>
    </row>
    <row r="83" customFormat="false" ht="15" hidden="false" customHeight="true" outlineLevel="0" collapsed="false">
      <c r="B83" s="17" t="s">
        <v>299</v>
      </c>
      <c r="C83" s="18" t="str">
        <f aca="false">LEFT(B83,FIND("@",B83)-1)</f>
        <v>fatima.noor</v>
      </c>
      <c r="D83" s="18" t="str">
        <f aca="false">MID(B83,FIND("@",B83)+1,LEN(B83))</f>
        <v>mis.pk</v>
      </c>
    </row>
    <row r="86" customFormat="false" ht="24" hidden="false" customHeight="true" outlineLevel="0" collapsed="false">
      <c r="B86" s="19" t="s">
        <v>300</v>
      </c>
      <c r="C86" s="19"/>
      <c r="D86" s="19"/>
      <c r="E86" s="19"/>
      <c r="F86" s="19"/>
      <c r="G86" s="19"/>
      <c r="H86" s="19"/>
      <c r="I86" s="19"/>
    </row>
    <row r="87" customFormat="false" ht="27.75" hidden="false" customHeight="true" outlineLevel="0" collapsed="false">
      <c r="B87" s="12" t="s">
        <v>301</v>
      </c>
      <c r="C87" s="12"/>
      <c r="D87" s="12"/>
      <c r="E87" s="12"/>
      <c r="F87" s="12"/>
      <c r="G87" s="12"/>
      <c r="H87" s="12"/>
      <c r="I87" s="12"/>
    </row>
    <row r="88" customFormat="false" ht="15" hidden="false" customHeight="true" outlineLevel="0" collapsed="false">
      <c r="B88" s="7" t="s">
        <v>302</v>
      </c>
      <c r="C88" s="7" t="s">
        <v>151</v>
      </c>
      <c r="D88" s="7" t="s">
        <v>23</v>
      </c>
      <c r="E88" s="7" t="s">
        <v>84</v>
      </c>
      <c r="F88" s="7" t="s">
        <v>218</v>
      </c>
      <c r="G88" s="7" t="s">
        <v>303</v>
      </c>
      <c r="H88" s="7" t="s">
        <v>304</v>
      </c>
      <c r="I88" s="7" t="s">
        <v>305</v>
      </c>
    </row>
    <row r="89" customFormat="false" ht="15" hidden="false" customHeight="true" outlineLevel="0" collapsed="false">
      <c r="B89" s="16" t="s">
        <v>141</v>
      </c>
      <c r="C89" s="16" t="s">
        <v>154</v>
      </c>
      <c r="D89" s="16" t="n">
        <v>150000</v>
      </c>
      <c r="E89" s="16" t="n">
        <v>100000</v>
      </c>
      <c r="F89" s="16" t="s">
        <v>224</v>
      </c>
      <c r="G89" s="18" t="str">
        <f aca="false">PROPER(B89)</f>
        <v>Ahmed Khan</v>
      </c>
      <c r="H89" s="18" t="n">
        <f aca="true">IFERROR(DATEDIF(F89,TODAY(),"Y"),0)</f>
        <v>6</v>
      </c>
      <c r="I89" s="18" t="n">
        <f aca="false">IF(H89&lt;2,0,IF(C89="Sales",IF(D89&gt;E89,D89*0.1,0),5000))</f>
        <v>15000</v>
      </c>
    </row>
    <row r="90" customFormat="false" ht="15" hidden="false" customHeight="true" outlineLevel="0" collapsed="false">
      <c r="B90" s="17" t="s">
        <v>142</v>
      </c>
      <c r="C90" s="17" t="s">
        <v>156</v>
      </c>
      <c r="D90" s="17" t="n">
        <v>0</v>
      </c>
      <c r="E90" s="17" t="n">
        <v>0</v>
      </c>
      <c r="F90" s="17" t="s">
        <v>226</v>
      </c>
      <c r="G90" s="18" t="str">
        <f aca="false">PROPER(B90)</f>
        <v>Sara Ali</v>
      </c>
      <c r="H90" s="18" t="n">
        <f aca="true">IFERROR(DATEDIF(F90,TODAY(),"Y"),0)</f>
        <v>3</v>
      </c>
      <c r="I90" s="18" t="n">
        <f aca="false">IF(H90&lt;2,0,IF(C90="Sales",IF(D90&gt;E90,D90*0.1,0),5000))</f>
        <v>5000</v>
      </c>
    </row>
    <row r="91" customFormat="false" ht="15" hidden="false" customHeight="true" outlineLevel="0" collapsed="false">
      <c r="B91" s="16" t="s">
        <v>143</v>
      </c>
      <c r="C91" s="16" t="s">
        <v>154</v>
      </c>
      <c r="D91" s="16" t="n">
        <v>80000</v>
      </c>
      <c r="E91" s="16" t="n">
        <v>100000</v>
      </c>
      <c r="F91" s="16" t="s">
        <v>306</v>
      </c>
      <c r="G91" s="18" t="str">
        <f aca="false">PROPER(B91)</f>
        <v>Zain Malik</v>
      </c>
      <c r="H91" s="18" t="n">
        <f aca="true">IFERROR(DATEDIF(F91,TODAY(),"Y"),0)</f>
        <v>2</v>
      </c>
      <c r="I91" s="18" t="n">
        <f aca="false">IF(H91&lt;2,0,IF(C91="Sales",IF(D91&gt;E91,D91*0.1,0),5000))</f>
        <v>0</v>
      </c>
    </row>
    <row r="92" customFormat="false" ht="15" hidden="false" customHeight="true" outlineLevel="0" collapsed="false">
      <c r="B92" s="17" t="s">
        <v>144</v>
      </c>
      <c r="C92" s="17" t="s">
        <v>159</v>
      </c>
      <c r="D92" s="17" t="n">
        <v>0</v>
      </c>
      <c r="E92" s="17" t="n">
        <v>0</v>
      </c>
      <c r="F92" s="17" t="s">
        <v>230</v>
      </c>
      <c r="G92" s="18" t="str">
        <f aca="false">PROPER(B92)</f>
        <v>Fatima Noor</v>
      </c>
      <c r="H92" s="18" t="n">
        <f aca="true">IFERROR(DATEDIF(F92,TODAY(),"Y"),0)</f>
        <v>4</v>
      </c>
      <c r="I92" s="18" t="n">
        <f aca="false">IF(H92&lt;2,0,IF(C92="Sales",IF(D92&gt;E92,D92*0.1,0),5000))</f>
        <v>5000</v>
      </c>
    </row>
    <row r="93" customFormat="false" ht="15" hidden="false" customHeight="true" outlineLevel="0" collapsed="false">
      <c r="B93" s="16" t="s">
        <v>307</v>
      </c>
      <c r="C93" s="16" t="s">
        <v>154</v>
      </c>
      <c r="D93" s="16" t="n">
        <v>120000</v>
      </c>
      <c r="E93" s="16" t="n">
        <v>100000</v>
      </c>
      <c r="F93" s="16" t="s">
        <v>308</v>
      </c>
      <c r="G93" s="18" t="str">
        <f aca="false">PROPER(B93)</f>
        <v>Usman Tariq</v>
      </c>
      <c r="H93" s="18" t="n">
        <f aca="true">IFERROR(DATEDIF(F93,TODAY(),"Y"),0)</f>
        <v>6</v>
      </c>
      <c r="I93" s="18" t="n">
        <f aca="false">IF(H93&lt;2,0,IF(C93="Sales",IF(D93&gt;E93,D93*0.1,0),5000))</f>
        <v>12000</v>
      </c>
    </row>
    <row r="94" customFormat="false" ht="23.25" hidden="false" customHeight="true" outlineLevel="0" collapsed="false">
      <c r="B94" s="7" t="s">
        <v>309</v>
      </c>
      <c r="D94" s="18" t="str">
        <f aca="false">COUNTIFS(C89:C93,"Sales",I89:I93,"&gt;0")&amp;" Sales staff earned bonus"</f>
        <v>2 Sales staff earned bonus</v>
      </c>
      <c r="G94" s="7" t="s">
        <v>310</v>
      </c>
      <c r="H94" s="18" t="n">
        <f aca="false">SUM(I89:I93)</f>
        <v>37000</v>
      </c>
    </row>
    <row r="95" customFormat="false" ht="27.75" hidden="false" customHeight="true" outlineLevel="0" collapsed="false">
      <c r="B95" s="12" t="s">
        <v>311</v>
      </c>
      <c r="C95" s="12"/>
      <c r="D95" s="12"/>
      <c r="E95" s="12"/>
      <c r="F95" s="12"/>
      <c r="G95" s="12"/>
      <c r="H95" s="12"/>
      <c r="I95" s="12"/>
    </row>
  </sheetData>
  <mergeCells count="20">
    <mergeCell ref="B1:I1"/>
    <mergeCell ref="B3:H3"/>
    <mergeCell ref="B17:I17"/>
    <mergeCell ref="B18:I18"/>
    <mergeCell ref="B25:I25"/>
    <mergeCell ref="B27:I27"/>
    <mergeCell ref="B33:I33"/>
    <mergeCell ref="B34:I34"/>
    <mergeCell ref="B42:I42"/>
    <mergeCell ref="B49:I49"/>
    <mergeCell ref="B50:I50"/>
    <mergeCell ref="B57:I57"/>
    <mergeCell ref="B59:I59"/>
    <mergeCell ref="B68:I68"/>
    <mergeCell ref="B69:I69"/>
    <mergeCell ref="B76:I76"/>
    <mergeCell ref="B78:I78"/>
    <mergeCell ref="B86:I86"/>
    <mergeCell ref="B87:I87"/>
    <mergeCell ref="B95:I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2026-02-17T08:58:10Z</dcterms:created>
  <dc:creator>openpyxl</dc:creator>
  <dc:description/>
  <dc:language>en-US</dc:language>
  <cp:lastModifiedBy/>
  <dcterms:modified xsi:type="dcterms:W3CDTF">2026-02-17T08:58:39Z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