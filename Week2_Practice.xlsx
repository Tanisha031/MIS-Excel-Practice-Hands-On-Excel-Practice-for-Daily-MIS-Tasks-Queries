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VLOOKUP" sheetId="1" state="visible" r:id="rId3"/>
    <sheet name="2-SUMIF &amp; COUNTIF" sheetId="2" state="visible" r:id="rId4"/>
    <sheet name="3-DATE Functions" sheetId="3" state="visible" r:id="rId5"/>
    <sheet name="4-CHALLEN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<sst xmlns="http://schemas.openxmlformats.org/spreadsheetml/2006/main" count="178" uniqueCount="117">
  <si>
    <t xml:space="preserve">🔍  WEEK 2 — VLOOKUP Practice</t>
  </si>
  <si>
    <t xml:space="preserve">▼ PRODUCT MASTER TABLE (This is your lookup table)</t>
  </si>
  <si>
    <t xml:space="preserve">▼ INVOICE — VLOOKUP fills Price automatically!</t>
  </si>
  <si>
    <t xml:space="preserve">Product Code</t>
  </si>
  <si>
    <t xml:space="preserve">Product Name</t>
  </si>
  <si>
    <t xml:space="preserve">Price (Rs)</t>
  </si>
  <si>
    <t xml:space="preserve">Category</t>
  </si>
  <si>
    <t xml:space="preserve">Price (VLOOKUP)</t>
  </si>
  <si>
    <t xml:space="preserve">Formula Used</t>
  </si>
  <si>
    <t xml:space="preserve">P001</t>
  </si>
  <si>
    <t xml:space="preserve">Laptop</t>
  </si>
  <si>
    <t xml:space="preserve">Electronics</t>
  </si>
  <si>
    <t xml:space="preserve">P002</t>
  </si>
  <si>
    <t xml:space="preserve">Mouse</t>
  </si>
  <si>
    <t xml:space="preserve">Accessories</t>
  </si>
  <si>
    <t xml:space="preserve">P003</t>
  </si>
  <si>
    <t xml:space="preserve">Keyboard</t>
  </si>
  <si>
    <t xml:space="preserve">P007</t>
  </si>
  <si>
    <t xml:space="preserve">P004</t>
  </si>
  <si>
    <t xml:space="preserve">Monitor</t>
  </si>
  <si>
    <t xml:space="preserve">P005</t>
  </si>
  <si>
    <t xml:space="preserve">Headphones</t>
  </si>
  <si>
    <t xml:space="preserve">P006</t>
  </si>
  <si>
    <t xml:space="preserve">Webcam</t>
  </si>
  <si>
    <t xml:space="preserve">USB Hub</t>
  </si>
  <si>
    <t xml:space="preserve">Q: Change any code in F5:F11 — Price auto-updates! Try 'P999'</t>
  </si>
  <si>
    <t xml:space="preserve">💡 VLOOKUP Syntax: =VLOOKUP(what_to_find, table_range, column_number, FALSE)
   Column 1=Code, 2=Name, 3=Price, 4=Category</t>
  </si>
  <si>
    <t xml:space="preserve">▼ Category Lookup — Find Category for any Product Code</t>
  </si>
  <si>
    <t xml:space="preserve">Enter Code Here →</t>
  </si>
  <si>
    <t xml:space="preserve">Category Found</t>
  </si>
  <si>
    <t xml:space="preserve">📊  WEEK 2 — SUMIF &amp; COUNTIF Practice</t>
  </si>
  <si>
    <t xml:space="preserve">▼ SALES DATA TABLE</t>
  </si>
  <si>
    <t xml:space="preserve">▼ SUMIF RESULTS</t>
  </si>
  <si>
    <t xml:space="preserve">Region</t>
  </si>
  <si>
    <t xml:space="preserve">Sales (Rs)</t>
  </si>
  <si>
    <t xml:space="preserve">Question</t>
  </si>
  <si>
    <t xml:space="preserve">Result (Formula)</t>
  </si>
  <si>
    <t xml:space="preserve">Karachi</t>
  </si>
  <si>
    <t xml:space="preserve">Total Karachi Sales?</t>
  </si>
  <si>
    <t xml:space="preserve">Lahore</t>
  </si>
  <si>
    <t xml:space="preserve">Total Lahore Sales?</t>
  </si>
  <si>
    <t xml:space="preserve">Total Islamabad Sales?</t>
  </si>
  <si>
    <t xml:space="preserve">Total Electronics Sales?</t>
  </si>
  <si>
    <t xml:space="preserve">Total Accessories Sales?</t>
  </si>
  <si>
    <t xml:space="preserve">Islamabad</t>
  </si>
  <si>
    <t xml:space="preserve">Sales &gt; 50,000 total?</t>
  </si>
  <si>
    <t xml:space="preserve">▼ COUNTIF RESULTS</t>
  </si>
  <si>
    <t xml:space="preserve">How many Karachi entries?</t>
  </si>
  <si>
    <t xml:space="preserve">How many Electronics entries?</t>
  </si>
  <si>
    <t xml:space="preserve">How many sales &gt; 50,000?</t>
  </si>
  <si>
    <t xml:space="preserve">How many Lahore entries?</t>
  </si>
  <si>
    <t xml:space="preserve">💡 SUMIF: =SUMIF(range_to_check, condition, range_to_sum)
   COUNTIF: =COUNTIF(range_to_check, condition)</t>
  </si>
  <si>
    <t xml:space="preserve">📅  WEEK 2 — DATE Functions Practice</t>
  </si>
  <si>
    <t xml:space="preserve">▼ TODAY, YEAR, MONTH, DAY Functions</t>
  </si>
  <si>
    <t xml:space="preserve">Function</t>
  </si>
  <si>
    <t xml:space="preserve">Result</t>
  </si>
  <si>
    <t xml:space="preserve">Formula</t>
  </si>
  <si>
    <t xml:space="preserve">Explanation</t>
  </si>
  <si>
    <t xml:space="preserve">TODAY()</t>
  </si>
  <si>
    <t xml:space="preserve">Aaj ki date</t>
  </si>
  <si>
    <t xml:space="preserve">YEAR</t>
  </si>
  <si>
    <t xml:space="preserve">Current year</t>
  </si>
  <si>
    <t xml:space="preserve">MONTH</t>
  </si>
  <si>
    <t xml:space="preserve">Current month number</t>
  </si>
  <si>
    <t xml:space="preserve">DAY</t>
  </si>
  <si>
    <t xml:space="preserve">Current day number</t>
  </si>
  <si>
    <t xml:space="preserve">▼ EMPLOYEE AGE CALCULATOR (Age auto-calculates from Date of Birth)</t>
  </si>
  <si>
    <t xml:space="preserve">Employee Name</t>
  </si>
  <si>
    <t xml:space="preserve">Date of Birth</t>
  </si>
  <si>
    <t xml:space="preserve">Age (Years)</t>
  </si>
  <si>
    <t xml:space="preserve">Join Date</t>
  </si>
  <si>
    <t xml:space="preserve">Years with Company</t>
  </si>
  <si>
    <t xml:space="preserve">Ahmed Khan</t>
  </si>
  <si>
    <t xml:space="preserve">Sara Ali</t>
  </si>
  <si>
    <t xml:space="preserve">Zain Malik</t>
  </si>
  <si>
    <t xml:space="preserve">Fatima Raza</t>
  </si>
  <si>
    <t xml:space="preserve">Usman Sheikh</t>
  </si>
  <si>
    <t xml:space="preserve">▼ ORDER DELIVERY TRACKER — Days taken to deliver</t>
  </si>
  <si>
    <t xml:space="preserve">Order ID</t>
  </si>
  <si>
    <t xml:space="preserve">Order Date</t>
  </si>
  <si>
    <t xml:space="preserve">Delivery Date</t>
  </si>
  <si>
    <t xml:space="preserve">Days Taken</t>
  </si>
  <si>
    <t xml:space="preserve">Status</t>
  </si>
  <si>
    <t xml:space="preserve">ORD-001</t>
  </si>
  <si>
    <t xml:space="preserve">ORD-002</t>
  </si>
  <si>
    <t xml:space="preserve">ORD-003</t>
  </si>
  <si>
    <t xml:space="preserve">ORD-004</t>
  </si>
  <si>
    <t xml:space="preserve">ORD-005</t>
  </si>
  <si>
    <t xml:space="preserve">💡 DATEDIF(start, end, "Y") = full years difference | TODAY() always shows today's date automatically!</t>
  </si>
  <si>
    <t xml:space="preserve">🏆  WEEK 2 — MEGA CHALLENGE</t>
  </si>
  <si>
    <t xml:space="preserve">▼ EMPLOYEE MASTER (Lookup table for VLOOKUP)</t>
  </si>
  <si>
    <t xml:space="preserve">▼ CHALLENGE ANSWERS</t>
  </si>
  <si>
    <t xml:space="preserve">Emp ID</t>
  </si>
  <si>
    <t xml:space="preserve">Name</t>
  </si>
  <si>
    <t xml:space="preserve">Department</t>
  </si>
  <si>
    <t xml:space="preserve">City</t>
  </si>
  <si>
    <t xml:space="preserve">Salary</t>
  </si>
  <si>
    <t xml:space="preserve">Answer (Formula)</t>
  </si>
  <si>
    <t xml:space="preserve">Sales</t>
  </si>
  <si>
    <t xml:space="preserve">Emp 103 ka naam?</t>
  </si>
  <si>
    <t xml:space="preserve">HR</t>
  </si>
  <si>
    <t xml:space="preserve">Emp 105 ki salary?</t>
  </si>
  <si>
    <t xml:space="preserve">January total sales?</t>
  </si>
  <si>
    <t xml:space="preserve">IT</t>
  </si>
  <si>
    <t xml:space="preserve">Sales dept total salary?</t>
  </si>
  <si>
    <t xml:space="preserve">Karachi employees count?</t>
  </si>
  <si>
    <t xml:space="preserve">Sales &gt; 100k count?</t>
  </si>
  <si>
    <t xml:space="preserve">▼ SALES TRANSACTIONS</t>
  </si>
  <si>
    <t xml:space="preserve">Feb total sales?</t>
  </si>
  <si>
    <t xml:space="preserve">Month</t>
  </si>
  <si>
    <t xml:space="preserve">Sales Amount</t>
  </si>
  <si>
    <t xml:space="preserve">Sale Date</t>
  </si>
  <si>
    <t xml:space="preserve">Target</t>
  </si>
  <si>
    <t xml:space="preserve">Today's date?</t>
  </si>
  <si>
    <t xml:space="preserve">January</t>
  </si>
  <si>
    <t xml:space="preserve">✅ Study each formula above — then build your own from scratch!</t>
  </si>
  <si>
    <t xml:space="preserve">February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</si>
</sst>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"/>
    <numFmt numFmtId="168" formatCode="mm/dd/yy"/>
    <numFmt numFmtId="169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DEEAF1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DEEAF1"/>
        <bgColor rgb="FFE2EFDA"/>
      </patternFill>
    </fill>
    <fill>
      <patternFill patternType="solid">
        <fgColor rgb="FF7B2D8B"/>
        <bgColor rgb="FF993366"/>
      </patternFill>
    </fill>
    <fill>
      <patternFill patternType="solid">
        <fgColor rgb="FF84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7" min="6" style="0" width="22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F3" s="2" t="s">
        <v>2</v>
      </c>
      <c r="G3" s="2"/>
      <c r="H3" s="2"/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F4" s="4" t="s">
        <v>3</v>
      </c>
      <c r="G4" s="4" t="s">
        <v>7</v>
      </c>
      <c r="H4" s="4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5" t="n">
        <v>75000</v>
      </c>
      <c r="D5" s="5" t="s">
        <v>11</v>
      </c>
      <c r="F5" s="6" t="s">
        <v>9</v>
      </c>
      <c r="G5" s="7" t="n">
        <f aca="false">IFERROR(VLOOKUP(F5,$A$5:$D$11,3,FALSE()),"Not Found")</f>
        <v>75000</v>
      </c>
      <c r="H5" s="8" t="n">
        <f aca="false">VLOOKUP(F5,$A$5:$D$11,3,FALSE())</f>
        <v>75000</v>
      </c>
    </row>
    <row r="6" customFormat="false" ht="15" hidden="false" customHeight="false" outlineLevel="0" collapsed="false">
      <c r="A6" s="9" t="s">
        <v>12</v>
      </c>
      <c r="B6" s="9" t="s">
        <v>13</v>
      </c>
      <c r="C6" s="9" t="n">
        <v>500</v>
      </c>
      <c r="D6" s="9" t="s">
        <v>14</v>
      </c>
      <c r="F6" s="6" t="s">
        <v>15</v>
      </c>
      <c r="G6" s="7" t="n">
        <f aca="false">IFERROR(VLOOKUP(F6,$A$5:$D$11,3,FALSE()),"Not Found")</f>
        <v>1200</v>
      </c>
      <c r="H6" s="8" t="n">
        <f aca="false">VLOOKUP(F6,$A$5:$D$11,3,FALSE())</f>
        <v>1200</v>
      </c>
    </row>
    <row r="7" customFormat="false" ht="15" hidden="false" customHeight="false" outlineLevel="0" collapsed="false">
      <c r="A7" s="5" t="s">
        <v>15</v>
      </c>
      <c r="B7" s="5" t="s">
        <v>16</v>
      </c>
      <c r="C7" s="5" t="n">
        <v>1200</v>
      </c>
      <c r="D7" s="5" t="s">
        <v>14</v>
      </c>
      <c r="F7" s="6" t="s">
        <v>17</v>
      </c>
      <c r="G7" s="7" t="n">
        <f aca="false">IFERROR(VLOOKUP(F7,$A$5:$D$11,3,FALSE()),"Not Found")</f>
        <v>800</v>
      </c>
      <c r="H7" s="8" t="n">
        <f aca="false">VLOOKUP(F7,$A$5:$D$11,3,FALSE())</f>
        <v>800</v>
      </c>
    </row>
    <row r="8" customFormat="false" ht="15" hidden="false" customHeight="false" outlineLevel="0" collapsed="false">
      <c r="A8" s="9" t="s">
        <v>18</v>
      </c>
      <c r="B8" s="9" t="s">
        <v>19</v>
      </c>
      <c r="C8" s="9" t="n">
        <v>25000</v>
      </c>
      <c r="D8" s="9" t="s">
        <v>11</v>
      </c>
      <c r="F8" s="6" t="s">
        <v>12</v>
      </c>
      <c r="G8" s="7" t="n">
        <f aca="false">IFERROR(VLOOKUP(F8,$A$5:$D$11,3,FALSE()),"Not Found")</f>
        <v>500</v>
      </c>
      <c r="H8" s="8" t="n">
        <f aca="false">VLOOKUP(F8,$A$5:$D$11,3,FALSE())</f>
        <v>500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n">
        <v>3500</v>
      </c>
      <c r="D9" s="5" t="s">
        <v>14</v>
      </c>
      <c r="F9" s="6" t="s">
        <v>20</v>
      </c>
      <c r="G9" s="7" t="n">
        <f aca="false">IFERROR(VLOOKUP(F9,$A$5:$D$11,3,FALSE()),"Not Found")</f>
        <v>3500</v>
      </c>
      <c r="H9" s="8" t="n">
        <f aca="false">VLOOKUP(F9,$A$5:$D$11,3,FALSE())</f>
        <v>3500</v>
      </c>
    </row>
    <row r="10" customFormat="false" ht="15" hidden="false" customHeight="false" outlineLevel="0" collapsed="false">
      <c r="A10" s="9" t="s">
        <v>22</v>
      </c>
      <c r="B10" s="9" t="s">
        <v>23</v>
      </c>
      <c r="C10" s="9" t="n">
        <v>4500</v>
      </c>
      <c r="D10" s="9" t="s">
        <v>11</v>
      </c>
      <c r="F10" s="6" t="s">
        <v>18</v>
      </c>
      <c r="G10" s="7" t="n">
        <f aca="false">IFERROR(VLOOKUP(F10,$A$5:$D$11,3,FALSE()),"Not Found")</f>
        <v>25000</v>
      </c>
      <c r="H10" s="8" t="n">
        <f aca="false">VLOOKUP(F10,$A$5:$D$11,3,FALSE())</f>
        <v>25000</v>
      </c>
    </row>
    <row r="11" customFormat="false" ht="15" hidden="false" customHeight="false" outlineLevel="0" collapsed="false">
      <c r="A11" s="5" t="s">
        <v>17</v>
      </c>
      <c r="B11" s="5" t="s">
        <v>24</v>
      </c>
      <c r="C11" s="5" t="n">
        <v>800</v>
      </c>
      <c r="D11" s="5" t="s">
        <v>14</v>
      </c>
      <c r="F11" s="6" t="s">
        <v>22</v>
      </c>
      <c r="G11" s="7" t="n">
        <f aca="false">IFERROR(VLOOKUP(F11,$A$5:$D$11,3,FALSE()),"Not Found")</f>
        <v>4500</v>
      </c>
      <c r="H11" s="8" t="n">
        <f aca="false">VLOOKUP(F11,$A$5:$D$11,3,FALSE())</f>
        <v>4500</v>
      </c>
    </row>
    <row r="13" customFormat="false" ht="15" hidden="false" customHeight="true" outlineLevel="0" collapsed="false">
      <c r="F13" s="10" t="s">
        <v>25</v>
      </c>
      <c r="G13" s="10"/>
      <c r="H13" s="10"/>
    </row>
    <row r="14" customFormat="false" ht="30" hidden="false" customHeight="true" outlineLevel="0" collapsed="false">
      <c r="A14" s="2" t="s">
        <v>26</v>
      </c>
      <c r="B14" s="2"/>
      <c r="C14" s="2"/>
      <c r="D14" s="2"/>
    </row>
    <row r="15" customFormat="false" ht="15" hidden="false" customHeight="true" outlineLevel="0" collapsed="false">
      <c r="F15" s="2" t="s">
        <v>27</v>
      </c>
      <c r="G15" s="2"/>
      <c r="H15" s="2"/>
    </row>
    <row r="16" customFormat="false" ht="15" hidden="false" customHeight="false" outlineLevel="0" collapsed="false">
      <c r="F16" s="11" t="s">
        <v>28</v>
      </c>
      <c r="G16" s="11" t="s">
        <v>29</v>
      </c>
      <c r="H16" s="11" t="s">
        <v>4</v>
      </c>
    </row>
    <row r="17" customFormat="false" ht="15" hidden="false" customHeight="false" outlineLevel="0" collapsed="false">
      <c r="F17" s="6" t="s">
        <v>18</v>
      </c>
      <c r="G17" s="7" t="str">
        <f aca="false">IFERROR(VLOOKUP(F17,$A$5:$D$11,4,FALSE()),"Not Found")</f>
        <v>Electronics</v>
      </c>
      <c r="H17" s="7" t="str">
        <f aca="false">IFERROR(VLOOKUP(F17,$A$5:$D$11,2,FALSE()),"Not Found")</f>
        <v>Monitor</v>
      </c>
    </row>
  </sheetData>
  <mergeCells count="6">
    <mergeCell ref="A1:H1"/>
    <mergeCell ref="A3:D3"/>
    <mergeCell ref="F3:H3"/>
    <mergeCell ref="F13:H13"/>
    <mergeCell ref="A14:D14"/>
    <mergeCell ref="F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</row>
    <row r="3" customFormat="false" ht="15" hidden="false" customHeight="true" outlineLevel="0" collapsed="false">
      <c r="A3" s="2" t="s">
        <v>31</v>
      </c>
      <c r="B3" s="2"/>
      <c r="C3" s="2"/>
      <c r="E3" s="2" t="s">
        <v>32</v>
      </c>
      <c r="F3" s="2"/>
      <c r="G3" s="2"/>
    </row>
    <row r="4" customFormat="false" ht="15" hidden="false" customHeight="false" outlineLevel="0" collapsed="false">
      <c r="A4" s="11" t="s">
        <v>33</v>
      </c>
      <c r="B4" s="11" t="s">
        <v>6</v>
      </c>
      <c r="C4" s="11" t="s">
        <v>34</v>
      </c>
      <c r="E4" s="3" t="s">
        <v>35</v>
      </c>
      <c r="F4" s="3" t="s">
        <v>36</v>
      </c>
      <c r="G4" s="3" t="s">
        <v>8</v>
      </c>
    </row>
    <row r="5" customFormat="false" ht="15" hidden="false" customHeight="false" outlineLevel="0" collapsed="false">
      <c r="A5" s="5" t="s">
        <v>37</v>
      </c>
      <c r="B5" s="5" t="s">
        <v>11</v>
      </c>
      <c r="C5" s="13" t="n">
        <v>75000</v>
      </c>
      <c r="E5" s="6" t="s">
        <v>38</v>
      </c>
      <c r="F5" s="14" t="n">
        <f aca="false">SUMIF(A5:A16,"Karachi",C5:C16)</f>
        <v>227100</v>
      </c>
      <c r="G5" s="8" t="n">
        <f aca="false">SUMIF(A5:A16,"Karachi",C5:C16)</f>
        <v>227100</v>
      </c>
    </row>
    <row r="6" customFormat="false" ht="15" hidden="false" customHeight="false" outlineLevel="0" collapsed="false">
      <c r="A6" s="9" t="s">
        <v>39</v>
      </c>
      <c r="B6" s="9" t="s">
        <v>14</v>
      </c>
      <c r="C6" s="15" t="n">
        <v>500</v>
      </c>
      <c r="E6" s="6" t="s">
        <v>40</v>
      </c>
      <c r="F6" s="14" t="n">
        <f aca="false">SUMIF(A5:A16,"Lahore",C5:C16)</f>
        <v>144300</v>
      </c>
      <c r="G6" s="8" t="n">
        <f aca="false">SUMIF(A5:A16,"Lahore",C5:C16)</f>
        <v>144300</v>
      </c>
    </row>
    <row r="7" customFormat="false" ht="15" hidden="false" customHeight="false" outlineLevel="0" collapsed="false">
      <c r="A7" s="5" t="s">
        <v>37</v>
      </c>
      <c r="B7" s="5" t="s">
        <v>14</v>
      </c>
      <c r="C7" s="13" t="n">
        <v>600</v>
      </c>
      <c r="E7" s="6" t="s">
        <v>41</v>
      </c>
      <c r="F7" s="14" t="n">
        <f aca="false">SUMIF(A5:A16,"Islamabad",C5:C16)</f>
        <v>116200</v>
      </c>
      <c r="G7" s="8" t="n">
        <f aca="false">SUMIF(A5:A16,"Islamabad",C5:C16)</f>
        <v>116200</v>
      </c>
    </row>
    <row r="8" customFormat="false" ht="15" hidden="false" customHeight="false" outlineLevel="0" collapsed="false">
      <c r="A8" s="9" t="s">
        <v>37</v>
      </c>
      <c r="B8" s="9" t="s">
        <v>11</v>
      </c>
      <c r="C8" s="15" t="n">
        <v>80000</v>
      </c>
      <c r="E8" s="6" t="s">
        <v>42</v>
      </c>
      <c r="F8" s="14" t="n">
        <f aca="false">SUMIF(B5:B16,"Electronics",C5:C16)</f>
        <v>481000</v>
      </c>
      <c r="G8" s="8" t="n">
        <f aca="false">SUMIF(B5:B16,"Electronics",C5:C16)</f>
        <v>481000</v>
      </c>
    </row>
    <row r="9" customFormat="false" ht="15" hidden="false" customHeight="false" outlineLevel="0" collapsed="false">
      <c r="A9" s="5" t="s">
        <v>39</v>
      </c>
      <c r="B9" s="5" t="s">
        <v>11</v>
      </c>
      <c r="C9" s="13" t="n">
        <v>72000</v>
      </c>
      <c r="E9" s="6" t="s">
        <v>43</v>
      </c>
      <c r="F9" s="14" t="n">
        <f aca="false">SUMIF(B5:B16,"Accessories",C5:C16)</f>
        <v>6600</v>
      </c>
      <c r="G9" s="8" t="n">
        <f aca="false">SUMIF(B5:B16,"Accessories",C5:C16)</f>
        <v>6600</v>
      </c>
    </row>
    <row r="10" customFormat="false" ht="15" hidden="false" customHeight="false" outlineLevel="0" collapsed="false">
      <c r="A10" s="9" t="s">
        <v>44</v>
      </c>
      <c r="B10" s="9" t="s">
        <v>14</v>
      </c>
      <c r="C10" s="15" t="n">
        <v>1200</v>
      </c>
      <c r="E10" s="6" t="s">
        <v>45</v>
      </c>
      <c r="F10" s="14" t="n">
        <f aca="false">SUMIF(C5:C16,"&gt;50000",C5:C16)</f>
        <v>481000</v>
      </c>
      <c r="G10" s="8" t="n">
        <f aca="false">SUMIF(C5:C16,"&gt;50000",C5:C16)</f>
        <v>481000</v>
      </c>
    </row>
    <row r="11" customFormat="false" ht="15" hidden="false" customHeight="false" outlineLevel="0" collapsed="false">
      <c r="A11" s="5" t="s">
        <v>37</v>
      </c>
      <c r="B11" s="5" t="s">
        <v>11</v>
      </c>
      <c r="C11" s="13" t="n">
        <v>68000</v>
      </c>
    </row>
    <row r="12" customFormat="false" ht="15" hidden="false" customHeight="true" outlineLevel="0" collapsed="false">
      <c r="A12" s="9" t="s">
        <v>39</v>
      </c>
      <c r="B12" s="9" t="s">
        <v>14</v>
      </c>
      <c r="C12" s="15" t="n">
        <v>800</v>
      </c>
      <c r="E12" s="2" t="s">
        <v>46</v>
      </c>
      <c r="F12" s="2"/>
      <c r="G12" s="2"/>
    </row>
    <row r="13" customFormat="false" ht="15" hidden="false" customHeight="false" outlineLevel="0" collapsed="false">
      <c r="A13" s="5" t="s">
        <v>44</v>
      </c>
      <c r="B13" s="5" t="s">
        <v>11</v>
      </c>
      <c r="C13" s="13" t="n">
        <v>55000</v>
      </c>
      <c r="E13" s="4" t="s">
        <v>35</v>
      </c>
      <c r="F13" s="4" t="s">
        <v>36</v>
      </c>
      <c r="G13" s="4" t="s">
        <v>8</v>
      </c>
    </row>
    <row r="14" customFormat="false" ht="15" hidden="false" customHeight="false" outlineLevel="0" collapsed="false">
      <c r="A14" s="9" t="s">
        <v>37</v>
      </c>
      <c r="B14" s="9" t="s">
        <v>14</v>
      </c>
      <c r="C14" s="15" t="n">
        <v>3500</v>
      </c>
      <c r="E14" s="16" t="s">
        <v>47</v>
      </c>
      <c r="F14" s="17" t="n">
        <f aca="false">COUNTIF(A5:A16,"Karachi")</f>
        <v>5</v>
      </c>
      <c r="G14" s="8" t="n">
        <f aca="false">COUNTIF(A5:A16,"Karachi")</f>
        <v>5</v>
      </c>
    </row>
    <row r="15" customFormat="false" ht="15" hidden="false" customHeight="false" outlineLevel="0" collapsed="false">
      <c r="A15" s="5" t="s">
        <v>39</v>
      </c>
      <c r="B15" s="5" t="s">
        <v>11</v>
      </c>
      <c r="C15" s="13" t="n">
        <v>71000</v>
      </c>
      <c r="E15" s="16" t="s">
        <v>48</v>
      </c>
      <c r="F15" s="17" t="n">
        <f aca="false">COUNTIF(B5:B16,"Electronics")</f>
        <v>7</v>
      </c>
      <c r="G15" s="8" t="n">
        <f aca="false">COUNTIF(B5:B16,"Electronics")</f>
        <v>7</v>
      </c>
    </row>
    <row r="16" customFormat="false" ht="15" hidden="false" customHeight="false" outlineLevel="0" collapsed="false">
      <c r="A16" s="9" t="s">
        <v>44</v>
      </c>
      <c r="B16" s="9" t="s">
        <v>11</v>
      </c>
      <c r="C16" s="15" t="n">
        <v>60000</v>
      </c>
      <c r="E16" s="16" t="s">
        <v>49</v>
      </c>
      <c r="F16" s="17" t="n">
        <f aca="false">COUNTIF(C5:C16,"&gt;50000")</f>
        <v>7</v>
      </c>
      <c r="G16" s="8" t="n">
        <f aca="false">COUNTIF(C5:C16,"&gt;50000")</f>
        <v>7</v>
      </c>
    </row>
    <row r="17" customFormat="false" ht="15" hidden="false" customHeight="false" outlineLevel="0" collapsed="false">
      <c r="E17" s="16" t="s">
        <v>50</v>
      </c>
      <c r="F17" s="17" t="n">
        <f aca="false">COUNTIF(A5:A16,"Lahore")</f>
        <v>4</v>
      </c>
      <c r="G17" s="8" t="n">
        <f aca="false">COUNTIF(A5:A16,"Lahore")</f>
        <v>4</v>
      </c>
    </row>
    <row r="18" customFormat="false" ht="30" hidden="false" customHeight="true" outlineLevel="0" collapsed="false">
      <c r="A18" s="2" t="s">
        <v>51</v>
      </c>
      <c r="B18" s="2"/>
      <c r="C18" s="2"/>
      <c r="D18" s="2"/>
      <c r="E18" s="2"/>
      <c r="F18" s="2"/>
      <c r="G18" s="2"/>
    </row>
  </sheetData>
  <mergeCells count="5">
    <mergeCell ref="A1:G1"/>
    <mergeCell ref="A3:C3"/>
    <mergeCell ref="E3:G3"/>
    <mergeCell ref="E12:G1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8"/>
  </cols>
  <sheetData>
    <row r="1" customFormat="false" ht="31.5" hidden="false" customHeight="true" outlineLevel="0" collapsed="false">
      <c r="A1" s="18" t="s">
        <v>52</v>
      </c>
      <c r="B1" s="18"/>
      <c r="C1" s="18"/>
      <c r="D1" s="18"/>
      <c r="E1" s="18"/>
    </row>
    <row r="3" customFormat="false" ht="15" hidden="false" customHeight="true" outlineLevel="0" collapsed="false">
      <c r="A3" s="2" t="s">
        <v>53</v>
      </c>
      <c r="B3" s="2"/>
      <c r="C3" s="2"/>
      <c r="D3" s="2"/>
      <c r="E3" s="2"/>
    </row>
    <row r="4" customFormat="false" ht="15" hidden="false" customHeight="false" outlineLevel="0" collapsed="false">
      <c r="A4" s="19" t="s">
        <v>54</v>
      </c>
      <c r="B4" s="19" t="s">
        <v>55</v>
      </c>
      <c r="C4" s="19" t="s">
        <v>56</v>
      </c>
      <c r="D4" s="19" t="s">
        <v>57</v>
      </c>
    </row>
    <row r="5" customFormat="false" ht="15" hidden="false" customHeight="false" outlineLevel="0" collapsed="false">
      <c r="A5" s="20" t="s">
        <v>58</v>
      </c>
      <c r="B5" s="21" t="n">
        <f aca="true">TODAY()</f>
        <v>46070</v>
      </c>
      <c r="C5" s="22" t="n">
        <f aca="true">TODAY()</f>
        <v>46070</v>
      </c>
      <c r="D5" s="9" t="s">
        <v>59</v>
      </c>
    </row>
    <row r="6" customFormat="false" ht="15" hidden="false" customHeight="false" outlineLevel="0" collapsed="false">
      <c r="A6" s="20" t="s">
        <v>60</v>
      </c>
      <c r="B6" s="21" t="n">
        <f aca="true">YEAR(TODAY())</f>
        <v>2026</v>
      </c>
      <c r="C6" s="8" t="n">
        <f aca="true">YEAR(TODAY())</f>
        <v>2026</v>
      </c>
      <c r="D6" s="9" t="s">
        <v>61</v>
      </c>
    </row>
    <row r="7" customFormat="false" ht="15" hidden="false" customHeight="false" outlineLevel="0" collapsed="false">
      <c r="A7" s="20" t="s">
        <v>62</v>
      </c>
      <c r="B7" s="21" t="n">
        <f aca="true">MONTH(TODAY())</f>
        <v>2</v>
      </c>
      <c r="C7" s="8" t="n">
        <f aca="true">MONTH(TODAY())</f>
        <v>2</v>
      </c>
      <c r="D7" s="9" t="s">
        <v>63</v>
      </c>
    </row>
    <row r="8" customFormat="false" ht="15" hidden="false" customHeight="false" outlineLevel="0" collapsed="false">
      <c r="A8" s="20" t="s">
        <v>64</v>
      </c>
      <c r="B8" s="21" t="n">
        <f aca="true">DAY(TODAY())</f>
        <v>17</v>
      </c>
      <c r="C8" s="8" t="n">
        <f aca="true">DAY(TODAY())</f>
        <v>17</v>
      </c>
      <c r="D8" s="9" t="s">
        <v>65</v>
      </c>
    </row>
    <row r="10" customFormat="false" ht="15" hidden="false" customHeight="true" outlineLevel="0" collapsed="false">
      <c r="A10" s="2" t="s">
        <v>66</v>
      </c>
      <c r="B10" s="2"/>
      <c r="C10" s="2"/>
      <c r="D10" s="2"/>
      <c r="E10" s="2"/>
    </row>
    <row r="11" customFormat="false" ht="15" hidden="false" customHeight="false" outlineLevel="0" collapsed="false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</row>
    <row r="12" customFormat="false" ht="15" hidden="false" customHeight="false" outlineLevel="0" collapsed="false">
      <c r="A12" s="9" t="s">
        <v>72</v>
      </c>
      <c r="B12" s="23" t="n">
        <v>32947</v>
      </c>
      <c r="C12" s="7" t="n">
        <f aca="true">DATEDIF(B12,TODAY(),"Y")</f>
        <v>35</v>
      </c>
      <c r="D12" s="23" t="n">
        <v>43110</v>
      </c>
      <c r="E12" s="7" t="n">
        <f aca="true">DATEDIF(D12,TODAY(),"Y")</f>
        <v>8</v>
      </c>
    </row>
    <row r="13" customFormat="false" ht="15" hidden="false" customHeight="false" outlineLevel="0" collapsed="false">
      <c r="A13" s="9" t="s">
        <v>73</v>
      </c>
      <c r="B13" s="23" t="n">
        <v>34902</v>
      </c>
      <c r="C13" s="7" t="n">
        <f aca="true">DATEDIF(B13,TODAY(),"Y")</f>
        <v>30</v>
      </c>
      <c r="D13" s="23" t="n">
        <v>44727</v>
      </c>
      <c r="E13" s="7" t="n">
        <f aca="true">DATEDIF(D13,TODAY(),"Y")</f>
        <v>3</v>
      </c>
    </row>
    <row r="14" customFormat="false" ht="15" hidden="false" customHeight="false" outlineLevel="0" collapsed="false">
      <c r="A14" s="9" t="s">
        <v>74</v>
      </c>
      <c r="B14" s="23" t="n">
        <v>32452</v>
      </c>
      <c r="C14" s="7" t="n">
        <f aca="true">DATEDIF(B14,TODAY(),"Y")</f>
        <v>37</v>
      </c>
      <c r="D14" s="23" t="n">
        <v>42248</v>
      </c>
      <c r="E14" s="7" t="n">
        <f aca="true">DATEDIF(D14,TODAY(),"Y")</f>
        <v>10</v>
      </c>
    </row>
    <row r="15" customFormat="false" ht="15" hidden="false" customHeight="false" outlineLevel="0" collapsed="false">
      <c r="A15" s="9" t="s">
        <v>75</v>
      </c>
      <c r="B15" s="23" t="n">
        <v>34028</v>
      </c>
      <c r="C15" s="7" t="n">
        <f aca="true">DATEDIF(B15,TODAY(),"Y")</f>
        <v>32</v>
      </c>
      <c r="D15" s="23" t="n">
        <v>43910</v>
      </c>
      <c r="E15" s="7" t="n">
        <f aca="true">DATEDIF(D15,TODAY(),"Y")</f>
        <v>5</v>
      </c>
    </row>
    <row r="16" customFormat="false" ht="15" hidden="false" customHeight="false" outlineLevel="0" collapsed="false">
      <c r="A16" s="9" t="s">
        <v>76</v>
      </c>
      <c r="B16" s="23" t="n">
        <v>31320</v>
      </c>
      <c r="C16" s="7" t="n">
        <f aca="true">DATEDIF(B16,TODAY(),"Y")</f>
        <v>40</v>
      </c>
      <c r="D16" s="23" t="n">
        <v>40483</v>
      </c>
      <c r="E16" s="7" t="n">
        <f aca="true">DATEDIF(D16,TODAY(),"Y")</f>
        <v>15</v>
      </c>
    </row>
    <row r="18" customFormat="false" ht="15" hidden="false" customHeight="true" outlineLevel="0" collapsed="false">
      <c r="A18" s="2" t="s">
        <v>77</v>
      </c>
      <c r="B18" s="2"/>
      <c r="C18" s="2"/>
      <c r="D18" s="2"/>
      <c r="E18" s="2"/>
    </row>
    <row r="19" customFormat="false" ht="15" hidden="false" customHeight="false" outlineLevel="0" collapsed="false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82</v>
      </c>
    </row>
    <row r="20" customFormat="false" ht="15" hidden="false" customHeight="false" outlineLevel="0" collapsed="false">
      <c r="A20" s="9" t="s">
        <v>83</v>
      </c>
      <c r="B20" s="23" t="n">
        <v>45296</v>
      </c>
      <c r="C20" s="23" t="n">
        <v>45301</v>
      </c>
      <c r="D20" s="21" t="n">
        <f aca="false">C20-B20</f>
        <v>5</v>
      </c>
      <c r="E20" s="7" t="str">
        <f aca="false">IF(C20-B20&lt;=7,"On Time","Delayed")</f>
        <v>On Time</v>
      </c>
    </row>
    <row r="21" customFormat="false" ht="15" hidden="false" customHeight="false" outlineLevel="0" collapsed="false">
      <c r="A21" s="9" t="s">
        <v>84</v>
      </c>
      <c r="B21" s="23" t="n">
        <v>45299</v>
      </c>
      <c r="C21" s="23" t="n">
        <v>45311</v>
      </c>
      <c r="D21" s="21" t="n">
        <f aca="false">C21-B21</f>
        <v>12</v>
      </c>
      <c r="E21" s="7" t="str">
        <f aca="false">IF(C21-B21&lt;=7,"On Time","Delayed")</f>
        <v>Delayed</v>
      </c>
    </row>
    <row r="22" customFormat="false" ht="15" hidden="false" customHeight="false" outlineLevel="0" collapsed="false">
      <c r="A22" s="9" t="s">
        <v>85</v>
      </c>
      <c r="B22" s="23" t="n">
        <v>45303</v>
      </c>
      <c r="C22" s="23" t="n">
        <v>45306</v>
      </c>
      <c r="D22" s="21" t="n">
        <f aca="false">C22-B22</f>
        <v>3</v>
      </c>
      <c r="E22" s="7" t="str">
        <f aca="false">IF(C22-B22&lt;=7,"On Time","Delayed")</f>
        <v>On Time</v>
      </c>
    </row>
    <row r="23" customFormat="false" ht="15" hidden="false" customHeight="false" outlineLevel="0" collapsed="false">
      <c r="A23" s="9" t="s">
        <v>86</v>
      </c>
      <c r="B23" s="23" t="n">
        <v>45306</v>
      </c>
      <c r="C23" s="23" t="n">
        <v>45319</v>
      </c>
      <c r="D23" s="21" t="n">
        <f aca="false">C23-B23</f>
        <v>13</v>
      </c>
      <c r="E23" s="7" t="str">
        <f aca="false">IF(C23-B23&lt;=7,"On Time","Delayed")</f>
        <v>Delayed</v>
      </c>
    </row>
    <row r="24" customFormat="false" ht="15" hidden="false" customHeight="false" outlineLevel="0" collapsed="false">
      <c r="A24" s="9" t="s">
        <v>87</v>
      </c>
      <c r="B24" s="23" t="n">
        <v>45311</v>
      </c>
      <c r="C24" s="23" t="n">
        <v>45323</v>
      </c>
      <c r="D24" s="21" t="n">
        <f aca="false">C24-B24</f>
        <v>12</v>
      </c>
      <c r="E24" s="7" t="str">
        <f aca="false">IF(C24-B24&lt;=7,"On Time","Delayed")</f>
        <v>Delayed</v>
      </c>
    </row>
    <row r="26" customFormat="false" ht="19.5" hidden="false" customHeight="true" outlineLevel="0" collapsed="false">
      <c r="A26" s="2" t="s">
        <v>88</v>
      </c>
      <c r="B26" s="2"/>
      <c r="C26" s="2"/>
      <c r="D26" s="2"/>
      <c r="E26" s="2"/>
    </row>
  </sheetData>
  <mergeCells count="5">
    <mergeCell ref="A1:E1"/>
    <mergeCell ref="A3:E3"/>
    <mergeCell ref="A10:E10"/>
    <mergeCell ref="A18:E18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20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24" t="s">
        <v>89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2" t="s">
        <v>90</v>
      </c>
      <c r="B3" s="2"/>
      <c r="C3" s="2"/>
      <c r="D3" s="2"/>
      <c r="E3" s="2"/>
      <c r="G3" s="2" t="s">
        <v>91</v>
      </c>
      <c r="H3" s="2"/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G4" s="25" t="s">
        <v>35</v>
      </c>
      <c r="H4" s="25" t="s">
        <v>97</v>
      </c>
    </row>
    <row r="5" customFormat="false" ht="15" hidden="false" customHeight="false" outlineLevel="0" collapsed="false">
      <c r="A5" s="5" t="n">
        <v>101</v>
      </c>
      <c r="B5" s="5" t="s">
        <v>72</v>
      </c>
      <c r="C5" s="5" t="s">
        <v>98</v>
      </c>
      <c r="D5" s="5" t="s">
        <v>37</v>
      </c>
      <c r="E5" s="5" t="n">
        <v>45000</v>
      </c>
      <c r="G5" s="6" t="s">
        <v>99</v>
      </c>
      <c r="H5" s="14" t="str">
        <f aca="false">IFERROR(VLOOKUP(103,A5:E9,2,FALSE()),"Not Found")</f>
        <v>Zain Malik</v>
      </c>
    </row>
    <row r="6" customFormat="false" ht="15" hidden="false" customHeight="false" outlineLevel="0" collapsed="false">
      <c r="A6" s="9" t="n">
        <v>102</v>
      </c>
      <c r="B6" s="9" t="s">
        <v>73</v>
      </c>
      <c r="C6" s="9" t="s">
        <v>100</v>
      </c>
      <c r="D6" s="9" t="s">
        <v>39</v>
      </c>
      <c r="E6" s="9" t="n">
        <v>38000</v>
      </c>
      <c r="G6" s="6" t="s">
        <v>101</v>
      </c>
      <c r="H6" s="14" t="n">
        <f aca="false">IFERROR(VLOOKUP(105,A5:E9,5,FALSE()),"Not Found")</f>
        <v>48000</v>
      </c>
    </row>
    <row r="7" customFormat="false" ht="15" hidden="false" customHeight="false" outlineLevel="0" collapsed="false">
      <c r="A7" s="5" t="n">
        <v>103</v>
      </c>
      <c r="B7" s="5" t="s">
        <v>74</v>
      </c>
      <c r="C7" s="5" t="s">
        <v>98</v>
      </c>
      <c r="D7" s="5" t="s">
        <v>37</v>
      </c>
      <c r="E7" s="5" t="n">
        <v>42000</v>
      </c>
      <c r="G7" s="6" t="s">
        <v>102</v>
      </c>
      <c r="H7" s="14" t="n">
        <f aca="false">SUMIF(B13:B20,"January",C13:C20)</f>
        <v>350000</v>
      </c>
    </row>
    <row r="8" customFormat="false" ht="15" hidden="false" customHeight="false" outlineLevel="0" collapsed="false">
      <c r="A8" s="9" t="n">
        <v>104</v>
      </c>
      <c r="B8" s="9" t="s">
        <v>75</v>
      </c>
      <c r="C8" s="9" t="s">
        <v>103</v>
      </c>
      <c r="D8" s="9" t="s">
        <v>44</v>
      </c>
      <c r="E8" s="9" t="n">
        <v>55000</v>
      </c>
      <c r="G8" s="6" t="s">
        <v>104</v>
      </c>
      <c r="H8" s="14" t="n">
        <f aca="false">SUMIF(C5:C9,"Sales",E5:E9)</f>
        <v>135000</v>
      </c>
    </row>
    <row r="9" customFormat="false" ht="23.85" hidden="false" customHeight="false" outlineLevel="0" collapsed="false">
      <c r="A9" s="5" t="n">
        <v>105</v>
      </c>
      <c r="B9" s="5" t="s">
        <v>76</v>
      </c>
      <c r="C9" s="5" t="s">
        <v>98</v>
      </c>
      <c r="D9" s="5" t="s">
        <v>39</v>
      </c>
      <c r="E9" s="5" t="n">
        <v>48000</v>
      </c>
      <c r="G9" s="6" t="s">
        <v>105</v>
      </c>
      <c r="H9" s="14" t="n">
        <f aca="false">COUNTIF(D5:D9,"Karachi")</f>
        <v>2</v>
      </c>
    </row>
    <row r="10" customFormat="false" ht="15" hidden="false" customHeight="false" outlineLevel="0" collapsed="false">
      <c r="G10" s="6" t="s">
        <v>106</v>
      </c>
      <c r="H10" s="14" t="n">
        <f aca="false">COUNTIF(C13:C20,"&gt;100000")</f>
        <v>4</v>
      </c>
    </row>
    <row r="11" customFormat="false" ht="15" hidden="false" customHeight="true" outlineLevel="0" collapsed="false">
      <c r="A11" s="2" t="s">
        <v>107</v>
      </c>
      <c r="B11" s="2"/>
      <c r="C11" s="2"/>
      <c r="D11" s="2"/>
      <c r="E11" s="2"/>
      <c r="G11" s="6" t="s">
        <v>108</v>
      </c>
      <c r="H11" s="14" t="n">
        <f aca="false">SUMIF(B13:B20,"February",C13:C20)</f>
        <v>335000</v>
      </c>
    </row>
    <row r="12" customFormat="false" ht="15" hidden="false" customHeight="false" outlineLevel="0" collapsed="false">
      <c r="A12" s="11" t="s">
        <v>92</v>
      </c>
      <c r="B12" s="11" t="s">
        <v>109</v>
      </c>
      <c r="C12" s="11" t="s">
        <v>110</v>
      </c>
      <c r="D12" s="11" t="s">
        <v>111</v>
      </c>
      <c r="E12" s="11" t="s">
        <v>112</v>
      </c>
      <c r="G12" s="6" t="s">
        <v>113</v>
      </c>
      <c r="H12" s="14" t="n">
        <f aca="true">TODAY()</f>
        <v>46070</v>
      </c>
    </row>
    <row r="13" customFormat="false" ht="15" hidden="false" customHeight="false" outlineLevel="0" collapsed="false">
      <c r="A13" s="5" t="n">
        <v>101</v>
      </c>
      <c r="B13" s="5" t="s">
        <v>114</v>
      </c>
      <c r="C13" s="13" t="n">
        <v>150000</v>
      </c>
      <c r="D13" s="26" t="n">
        <v>45296</v>
      </c>
      <c r="E13" s="5" t="n">
        <v>100000</v>
      </c>
    </row>
    <row r="14" customFormat="false" ht="22.35" hidden="false" customHeight="true" outlineLevel="0" collapsed="false">
      <c r="A14" s="9" t="n">
        <v>103</v>
      </c>
      <c r="B14" s="9" t="s">
        <v>114</v>
      </c>
      <c r="C14" s="15" t="n">
        <v>80000</v>
      </c>
      <c r="D14" s="23" t="n">
        <v>45299</v>
      </c>
      <c r="E14" s="9" t="n">
        <v>100000</v>
      </c>
      <c r="G14" s="2" t="s">
        <v>115</v>
      </c>
      <c r="H14" s="2"/>
    </row>
    <row r="15" customFormat="false" ht="15" hidden="false" customHeight="false" outlineLevel="0" collapsed="false">
      <c r="A15" s="5" t="n">
        <v>105</v>
      </c>
      <c r="B15" s="5" t="s">
        <v>114</v>
      </c>
      <c r="C15" s="13" t="n">
        <v>120000</v>
      </c>
      <c r="D15" s="26" t="n">
        <v>45301</v>
      </c>
      <c r="E15" s="5" t="n">
        <v>100000</v>
      </c>
    </row>
    <row r="16" customFormat="false" ht="15" hidden="false" customHeight="false" outlineLevel="0" collapsed="false">
      <c r="A16" s="9" t="n">
        <v>101</v>
      </c>
      <c r="B16" s="9" t="s">
        <v>116</v>
      </c>
      <c r="C16" s="15" t="n">
        <v>130000</v>
      </c>
      <c r="D16" s="23" t="n">
        <v>45326</v>
      </c>
      <c r="E16" s="9" t="n">
        <v>100000</v>
      </c>
    </row>
    <row r="17" customFormat="false" ht="15" hidden="false" customHeight="false" outlineLevel="0" collapsed="false">
      <c r="A17" s="5" t="n">
        <v>103</v>
      </c>
      <c r="B17" s="5" t="s">
        <v>116</v>
      </c>
      <c r="C17" s="13" t="n">
        <v>110000</v>
      </c>
      <c r="D17" s="26" t="n">
        <v>45334</v>
      </c>
      <c r="E17" s="5" t="n">
        <v>100000</v>
      </c>
    </row>
    <row r="18" customFormat="false" ht="15" hidden="false" customHeight="false" outlineLevel="0" collapsed="false">
      <c r="A18" s="9" t="n">
        <v>105</v>
      </c>
      <c r="B18" s="9" t="s">
        <v>116</v>
      </c>
      <c r="C18" s="15" t="n">
        <v>95000</v>
      </c>
      <c r="D18" s="23" t="n">
        <v>45340</v>
      </c>
      <c r="E18" s="9" t="n">
        <v>100000</v>
      </c>
    </row>
    <row r="19" customFormat="false" ht="15" hidden="false" customHeight="false" outlineLevel="0" collapsed="false">
      <c r="A19" s="5" t="n">
        <v>102</v>
      </c>
      <c r="B19" s="5" t="s">
        <v>114</v>
      </c>
      <c r="C19" s="13" t="n">
        <v>0</v>
      </c>
      <c r="D19" s="26" t="n">
        <v>45311</v>
      </c>
      <c r="E19" s="5" t="n">
        <v>0</v>
      </c>
    </row>
    <row r="20" customFormat="false" ht="15" hidden="false" customHeight="false" outlineLevel="0" collapsed="false">
      <c r="A20" s="9" t="n">
        <v>104</v>
      </c>
      <c r="B20" s="9" t="s">
        <v>114</v>
      </c>
      <c r="C20" s="15" t="n">
        <v>0</v>
      </c>
      <c r="D20" s="23" t="n">
        <v>45313</v>
      </c>
      <c r="E20" s="9" t="n">
        <v>0</v>
      </c>
    </row>
  </sheetData>
  <mergeCells count="5">
    <mergeCell ref="A1:H1"/>
    <mergeCell ref="A3:E3"/>
    <mergeCell ref="G3:H3"/>
    <mergeCell ref="A11:E11"/>
    <mergeCell ref="G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2026-02-17T08:35:37Z</dcterms:created>
  <dc:creator>openpyxl</dc:creator>
  <dc:description/>
  <dc:language>en-US</dc:language>
  <cp:lastModifiedBy/>
  <dcterms:modified xsi:type="dcterms:W3CDTF">2026-02-17T08:35:37Z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