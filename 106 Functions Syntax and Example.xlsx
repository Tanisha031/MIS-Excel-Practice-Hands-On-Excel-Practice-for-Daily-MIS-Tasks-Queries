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tabRatio="743" firstSheet="6" activeTab="10"/>
  </bookViews>
  <sheets>
    <sheet name="Raw Data" sheetId="2" r:id="rId1"/>
    <sheet name="Cleaned Data" sheetId="1" r:id="rId2"/>
    <sheet name="Data Table" sheetId="3" r:id="rId3"/>
    <sheet name="Pivot Table" sheetId="7" r:id="rId4"/>
    <sheet name="LOOKUP Functions" sheetId="4" r:id="rId5"/>
    <sheet name="Logical Functions" sheetId="5" r:id="rId6"/>
    <sheet name="Text Functions" sheetId="9" r:id="rId7"/>
    <sheet name="Error Functions" sheetId="11" r:id="rId8"/>
    <sheet name="Date Functions" sheetId="10" r:id="rId9"/>
    <sheet name="Statis+Analy Functions (1)" sheetId="12" r:id="rId10"/>
    <sheet name="Statis+Analy Functions (2)" sheetId="13" r:id="rId11"/>
    <sheet name="Financial &amp; Accounts Functions" sheetId="14" r:id="rId12"/>
  </sheets>
  <calcPr calcId="162913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0" l="1"/>
  <c r="N15" i="10"/>
  <c r="N7" i="10"/>
  <c r="N11" i="10"/>
  <c r="N3" i="10"/>
  <c r="G7" i="10"/>
  <c r="G19" i="10"/>
  <c r="G15" i="10"/>
  <c r="G11" i="10"/>
  <c r="N19" i="10"/>
  <c r="A15" i="10"/>
  <c r="A11" i="10"/>
  <c r="A7" i="10"/>
  <c r="J2" i="1"/>
  <c r="K2" i="1"/>
  <c r="L2" i="1"/>
  <c r="M2" i="1"/>
  <c r="I2" i="1"/>
  <c r="G19" i="11" l="1"/>
  <c r="A15" i="11"/>
  <c r="G15" i="11"/>
  <c r="G11" i="11"/>
  <c r="G7" i="11"/>
  <c r="A11" i="11"/>
  <c r="A7" i="11"/>
  <c r="A19" i="11"/>
  <c r="S19" i="9"/>
  <c r="S11" i="9"/>
  <c r="S15" i="9"/>
  <c r="S7" i="9"/>
  <c r="M20" i="5"/>
  <c r="A16" i="5"/>
  <c r="M16" i="5"/>
  <c r="A20" i="5"/>
  <c r="G20" i="5"/>
  <c r="G16" i="5"/>
  <c r="L15" i="4"/>
  <c r="I19" i="4" a="1"/>
  <c r="I19" i="4" s="1"/>
  <c r="I20" i="4" a="1"/>
  <c r="I20" i="4"/>
  <c r="I21" i="4" a="1"/>
  <c r="I21" i="4" s="1"/>
  <c r="I22" i="4" a="1"/>
  <c r="I22" i="4"/>
  <c r="I23" i="4" a="1"/>
  <c r="I23" i="4" s="1"/>
  <c r="F23" i="4" a="1"/>
  <c r="F23" i="4"/>
  <c r="G23" i="4" a="1"/>
  <c r="G23" i="4"/>
  <c r="H23" i="4" a="1"/>
  <c r="H23" i="4"/>
  <c r="F22" i="4" a="1"/>
  <c r="F22" i="4" s="1"/>
  <c r="G22" i="4" a="1"/>
  <c r="G22" i="4"/>
  <c r="H22" i="4" a="1"/>
  <c r="H22" i="4" s="1"/>
  <c r="F20" i="4" a="1"/>
  <c r="F20" i="4" s="1"/>
  <c r="G20" i="4" a="1"/>
  <c r="G20" i="4"/>
  <c r="H20" i="4" a="1"/>
  <c r="H20" i="4" s="1"/>
  <c r="F21" i="4" a="1"/>
  <c r="F21" i="4"/>
  <c r="G21" i="4" a="1"/>
  <c r="G21" i="4" s="1"/>
  <c r="H21" i="4" a="1"/>
  <c r="H21" i="4" s="1"/>
  <c r="G19" i="4" a="1"/>
  <c r="G19" i="4" s="1"/>
  <c r="H19" i="4" a="1"/>
  <c r="H19" i="4" s="1"/>
  <c r="F19" i="4" a="1"/>
  <c r="F19" i="4" s="1"/>
  <c r="F15" i="4"/>
  <c r="F7" i="4"/>
  <c r="F11" i="4"/>
  <c r="L11" i="4" l="1"/>
  <c r="L7" i="4"/>
  <c r="M19" i="9" l="1"/>
  <c r="M15" i="9"/>
  <c r="M11" i="9"/>
  <c r="M7" i="9"/>
  <c r="G19" i="9"/>
  <c r="G15" i="9"/>
  <c r="G11" i="9"/>
  <c r="G7" i="9"/>
  <c r="A19" i="9"/>
  <c r="A15" i="9"/>
  <c r="A11" i="9"/>
  <c r="A7" i="9"/>
  <c r="M12" i="5" l="1"/>
  <c r="G8" i="5"/>
  <c r="M8" i="5" l="1"/>
  <c r="A8" i="5" l="1"/>
  <c r="A19" i="4"/>
  <c r="A15" i="4"/>
  <c r="A7" i="4"/>
</calcChain>
</file>

<file path=xl/comments1.xml><?xml version="1.0" encoding="utf-8"?>
<comments xmlns="http://schemas.openxmlformats.org/spreadsheetml/2006/main">
  <authors>
    <author>Windows User</author>
  </authors>
  <commentList>
    <comment ref="F19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after entering the complete formula. You must press:
Ctrl + Shift + Enter
(Not just Enter)
Otherwise you get:
#VALUE!</t>
        </r>
      </text>
    </comment>
  </commentList>
</comments>
</file>

<file path=xl/sharedStrings.xml><?xml version="1.0" encoding="utf-8"?>
<sst xmlns="http://schemas.openxmlformats.org/spreadsheetml/2006/main" count="679" uniqueCount="349">
  <si>
    <t>Date</t>
  </si>
  <si>
    <t>Product</t>
  </si>
  <si>
    <t>Category</t>
  </si>
  <si>
    <t>Region</t>
  </si>
  <si>
    <t>Quantity</t>
  </si>
  <si>
    <t>Laptop</t>
  </si>
  <si>
    <t>Electronics</t>
  </si>
  <si>
    <t>North</t>
  </si>
  <si>
    <t>Headphones</t>
  </si>
  <si>
    <t>South</t>
  </si>
  <si>
    <t>Furniture</t>
  </si>
  <si>
    <t>East</t>
  </si>
  <si>
    <t>West</t>
  </si>
  <si>
    <t>Smartphone</t>
  </si>
  <si>
    <t>Clothing</t>
  </si>
  <si>
    <t>Groceries</t>
  </si>
  <si>
    <t>Printer</t>
  </si>
  <si>
    <t>Jeans</t>
  </si>
  <si>
    <t>Jacket</t>
  </si>
  <si>
    <t>Tablet</t>
  </si>
  <si>
    <t>Camera</t>
  </si>
  <si>
    <t>Hoodie</t>
  </si>
  <si>
    <t>Office Chair</t>
  </si>
  <si>
    <t>Wardrobe</t>
  </si>
  <si>
    <t>TV Stand</t>
  </si>
  <si>
    <t>Gaming Console</t>
  </si>
  <si>
    <t>Price (PKR)</t>
  </si>
  <si>
    <t>Men's Jacket</t>
  </si>
  <si>
    <t>LED TV 42"</t>
  </si>
  <si>
    <t>Dining Table</t>
  </si>
  <si>
    <t>Rice 10kg</t>
  </si>
  <si>
    <t>Bed Set</t>
  </si>
  <si>
    <t>Women's Handbag</t>
  </si>
  <si>
    <t>Air Conditioner</t>
  </si>
  <si>
    <t>Study Desk</t>
  </si>
  <si>
    <t>Flour 20kg</t>
  </si>
  <si>
    <t>Sofa Set</t>
  </si>
  <si>
    <t>Men's Shoes</t>
  </si>
  <si>
    <t>Refrigerator</t>
  </si>
  <si>
    <t>Cooking Oil 5L</t>
  </si>
  <si>
    <t>Office Table</t>
  </si>
  <si>
    <t>Kids T-Shirt</t>
  </si>
  <si>
    <t>Washing Machine</t>
  </si>
  <si>
    <t>Bookshelf</t>
  </si>
  <si>
    <t>Sugar 5kg</t>
  </si>
  <si>
    <t>Bluetooth Speaker</t>
  </si>
  <si>
    <t>Dressing Table</t>
  </si>
  <si>
    <t>Women's Dress</t>
  </si>
  <si>
    <t>Microwave Oven</t>
  </si>
  <si>
    <t>Mattress</t>
  </si>
  <si>
    <t>Tea 1kg</t>
  </si>
  <si>
    <t>Coffee Table</t>
  </si>
  <si>
    <t>Smart Watch</t>
  </si>
  <si>
    <t>Shoe Rack</t>
  </si>
  <si>
    <t>Milk 1L</t>
  </si>
  <si>
    <t>Curtains Set</t>
  </si>
  <si>
    <t>Eggs (Dozen)</t>
  </si>
  <si>
    <t>Power Bank</t>
  </si>
  <si>
    <t>Abaya</t>
  </si>
  <si>
    <t>Lentils 2kg</t>
  </si>
  <si>
    <t>Computer Table</t>
  </si>
  <si>
    <t>Bottled Water Pack</t>
  </si>
  <si>
    <t>UPS</t>
  </si>
  <si>
    <t>Bed Sheet Set</t>
  </si>
  <si>
    <t>2025-01-05 | Laptop | Electronics | North | 185000 | 2</t>
  </si>
  <si>
    <t>2025-01-12 | Office Chair | Furniture | South | 18500 | 5</t>
  </si>
  <si>
    <t>2025-01-18 | Men's Jacket | Clothing | East | 7500 | 8</t>
  </si>
  <si>
    <t>2025-01-25 | LED TV 42" | Electronics | West | 95000 | 3</t>
  </si>
  <si>
    <t>2025-02-03 | Refrigerator | Electronics | North | 125000 | 1</t>
  </si>
  <si>
    <t>2025-02-10 | Study Table | Furniture | South | 22000 | 4</t>
  </si>
  <si>
    <t>2025-02-14 | Women's Handbag | Clothing | East | 6500 | 6</t>
  </si>
  <si>
    <t>2025-02-20 | Printer | Electronics | West | 32000 | 2</t>
  </si>
  <si>
    <t>2025-03-02 | Microwave Oven | Electronics | North | 28000 | 3</t>
  </si>
  <si>
    <t>2025-03-09 | Sofa Set | Furniture | South | 145000 | 1</t>
  </si>
  <si>
    <t>2025-03-15 | Sneakers | Clothing | East | 9500 | 7</t>
  </si>
  <si>
    <t>2025-03-22 | Cooking Oil 5L | Groceries | West | 2800 | 10</t>
  </si>
  <si>
    <t>2025-04-04 | Smartphone | Electronics | North | 115000 | 4</t>
  </si>
  <si>
    <t>2025-04-12 | Wardrobe | Furniture | South | 85000 | 2</t>
  </si>
  <si>
    <t>2025-04-18 | Rice 10kg | Groceries | East | 3200 | 12</t>
  </si>
  <si>
    <t>2025-04-26 | Office Desk | Furniture | West | 35000 | 3</t>
  </si>
  <si>
    <t>2025-05-03 | Air Conditioner | Electronics | North | 165000 | 2</t>
  </si>
  <si>
    <t>2025-05-11 | T-Shirts Pack | Clothing | South | 4500 | 10</t>
  </si>
  <si>
    <t>2025-05-19 | Washing Machine | Electronics | East | 98000 | 1</t>
  </si>
  <si>
    <t>2025-05-28 | School Bag | Stationery | West | 3500 | 9</t>
  </si>
  <si>
    <t>2025-06-06 | Tablet | Electronics | North | 65000 | 3</t>
  </si>
  <si>
    <t>2025-06-14 | Bed Frame | Furniture | South | 72000 | 2</t>
  </si>
  <si>
    <t>2025-06-20 | Flour 10kg | Groceries | East | 2900 | 15</t>
  </si>
  <si>
    <t>2025-06-29 | Headphones | Electronics | West | 8500 | 6</t>
  </si>
  <si>
    <t>2025-07-04 | Gaming Console | Electronics | North | 155000 | 1</t>
  </si>
  <si>
    <t>2025-07-13 | Bookshelf | Furniture | South | 18000 | 4</t>
  </si>
  <si>
    <t>2025-07-21 | Men's Shoes | Clothing | East | 11000 | 5</t>
  </si>
  <si>
    <t>2025-07-30 | Notebook Pack | Stationery | West | 1200 | 20</t>
  </si>
  <si>
    <t>2025-08-05 | Water Dispenser | Electronics | North | 45000 | 2</t>
  </si>
  <si>
    <t>2025-08-12 | Dining Table | Furniture | South | 95000 | 1</t>
  </si>
  <si>
    <t>2025-08-18 | Sugar 5kg | Groceries | East | 850 | 18</t>
  </si>
  <si>
    <t>2025-08-27 | Backpack | Stationery | West | 4200 | 7</t>
  </si>
  <si>
    <t>2025-09-03 | Smartwatch | Electronics | North | 28000 | 5</t>
  </si>
  <si>
    <t>2025-09-11 | Curtains Set | Furniture | South | 12000 | 6</t>
  </si>
  <si>
    <t>2025-09-19 | Jeans | Clothing | East | 6000 | 9</t>
  </si>
  <si>
    <t>2025-09-28 | Milk Carton | Groceries | West | 250 | 30</t>
  </si>
  <si>
    <t>2025-10-06 | Bluetooth Speaker | Electronics | North | 14000 | 4</t>
  </si>
  <si>
    <t>2025-10-14 | Office Cabinet | Furniture | South | 40000 | 2</t>
  </si>
  <si>
    <t>2025-10-22 | Hoodie | Clothing | East | 5500 | 8</t>
  </si>
  <si>
    <t>2025-10-30 | Pens Box | Stationery | West | 900 | 25</t>
  </si>
  <si>
    <t>2025-11-07 | UPS | Electronics | North | 38000 | 3</t>
  </si>
  <si>
    <t>2025-11-16 | Mattress | Furniture | South | 48000 | 2</t>
  </si>
  <si>
    <t>2025-11-23 | Tea 1kg | Groceries | East | 1600 | 14</t>
  </si>
  <si>
    <t>2025-11-29 | Calculator | Stationery | West | 2500 | 6</t>
  </si>
  <si>
    <t>2025-12-05 | Camera | Electronics | North | 175000 | 1</t>
  </si>
  <si>
    <t>2025-12-13 | Coffee Table | Furniture | South | 22000 | 3</t>
  </si>
  <si>
    <t>2025-12-20 | Winter Coat | Clothing | East | 13500 | 4</t>
  </si>
  <si>
    <t>2025-12-28 | Eraser Pack | Stationery | West | 400 | 40</t>
  </si>
  <si>
    <t xml:space="preserve">VLOOKUP </t>
  </si>
  <si>
    <t>VLOOKUP(lookup_value, table_array, col_index, FALSE)</t>
  </si>
  <si>
    <t>XLOOKUP(lookup_value, lookup_array, return_array)</t>
  </si>
  <si>
    <t>HLOOKUP(value, table, row_index, FALSE)</t>
  </si>
  <si>
    <t>INDEX(return_range, MATCH(value, lookup_range, 0))</t>
  </si>
  <si>
    <t>HLOOKUP</t>
  </si>
  <si>
    <t>INDEX + MATCH</t>
  </si>
  <si>
    <t>XLOOKUP(Version!)</t>
  </si>
  <si>
    <t>🔎 LOOKUP FUNCTIONS</t>
  </si>
  <si>
    <t>🧠 LOGICAL FUNCTIONS</t>
  </si>
  <si>
    <t>IF</t>
  </si>
  <si>
    <t>SUMIF</t>
  </si>
  <si>
    <t>COUNTIF</t>
  </si>
  <si>
    <t>IF(condition, value_if_true, value_if_false)</t>
  </si>
  <si>
    <t>IFS(cond1,val1, cond2,val2)</t>
  </si>
  <si>
    <t>SUMIF(range, criteria, sum_range)</t>
  </si>
  <si>
    <t>SUMIFS(sum_range, criteria_range1, criteria1, ...)</t>
  </si>
  <si>
    <t>COUNTIF(range, criteria)</t>
  </si>
  <si>
    <t>COUNTIFS(range1,crit1,range2,crit2)</t>
  </si>
  <si>
    <t>IFS(not valid)</t>
  </si>
  <si>
    <t>📊 PIVOT TABLE FEATURES</t>
  </si>
  <si>
    <t>Row Labels</t>
  </si>
  <si>
    <t>Sum of Price (PKR)</t>
  </si>
  <si>
    <t>Grand Total</t>
  </si>
  <si>
    <t>Column Labels</t>
  </si>
  <si>
    <t>Remove Duplicates</t>
  </si>
  <si>
    <t>Text to Columns</t>
  </si>
  <si>
    <t>Trim</t>
  </si>
  <si>
    <t>Clean</t>
  </si>
  <si>
    <t>PROPER/UPPER/LOWER</t>
  </si>
  <si>
    <t>Sorting</t>
  </si>
  <si>
    <t>Filtering</t>
  </si>
  <si>
    <t>Find &amp; Replace</t>
  </si>
  <si>
    <t>Remove Blanks</t>
  </si>
  <si>
    <t xml:space="preserve">Data Cleaning </t>
  </si>
  <si>
    <t>Follow these Steps;</t>
  </si>
  <si>
    <t>LEFT</t>
  </si>
  <si>
    <t>RIGHT</t>
  </si>
  <si>
    <t>MID</t>
  </si>
  <si>
    <t>LEN</t>
  </si>
  <si>
    <t>FIND</t>
  </si>
  <si>
    <t>LEFT(text, num_characters)</t>
  </si>
  <si>
    <t>MID(text, start_position, num_characters)</t>
  </si>
  <si>
    <t>LEN(text)</t>
  </si>
  <si>
    <t>FIND(find_text, within_text, [start_position])</t>
  </si>
  <si>
    <t>SEARCH(find_text, within_text, [start_position])</t>
  </si>
  <si>
    <t>SEARCH</t>
  </si>
  <si>
    <t>TRIM</t>
  </si>
  <si>
    <t>CLEAN</t>
  </si>
  <si>
    <t>TRIM(text)</t>
  </si>
  <si>
    <t>CLEAN(text)</t>
  </si>
  <si>
    <t>PROPER</t>
  </si>
  <si>
    <t>LOWER</t>
  </si>
  <si>
    <t>UPPER</t>
  </si>
  <si>
    <t>UPPER(text)</t>
  </si>
  <si>
    <t>LOWER(text)</t>
  </si>
  <si>
    <t>PROPER(text)</t>
  </si>
  <si>
    <t>CONCAT</t>
  </si>
  <si>
    <t>CONCAT(text1, text2, ...)</t>
  </si>
  <si>
    <t>Microsoft Excel</t>
  </si>
  <si>
    <t xml:space="preserve">           Microsoft    Excel     </t>
  </si>
  <si>
    <t xml:space="preserve">Microsoft Excel </t>
  </si>
  <si>
    <t>mICrOSoft ExcEL</t>
  </si>
  <si>
    <t>A</t>
  </si>
  <si>
    <t>B</t>
  </si>
  <si>
    <t>C</t>
  </si>
  <si>
    <t>D</t>
  </si>
  <si>
    <t>E</t>
  </si>
  <si>
    <t>🔤 TEXT FUNCTIONS</t>
  </si>
  <si>
    <t>📅 DATE FUNCTIONS</t>
  </si>
  <si>
    <t>TODAY</t>
  </si>
  <si>
    <t>NOW</t>
  </si>
  <si>
    <t>DATE</t>
  </si>
  <si>
    <t>EOMONTH</t>
  </si>
  <si>
    <t>DATEDIF</t>
  </si>
  <si>
    <t>DAY</t>
  </si>
  <si>
    <t>MONTH</t>
  </si>
  <si>
    <t>YEAR</t>
  </si>
  <si>
    <t>WORKDAY</t>
  </si>
  <si>
    <t>NETWORKDAYS</t>
  </si>
  <si>
    <t>NETWORKDAYS(start_date, end_date, [holidays])</t>
  </si>
  <si>
    <t>WORKDAY(start_date, days, [holidays])</t>
  </si>
  <si>
    <t>YEAR(date)</t>
  </si>
  <si>
    <t>MONTH(date)</t>
  </si>
  <si>
    <t>DAY(date)</t>
  </si>
  <si>
    <t>DATEDIF(start_date, end_date, "unit")</t>
  </si>
  <si>
    <t>EOMONTH(start_date, months)</t>
  </si>
  <si>
    <t>DATE(year, month, day)</t>
  </si>
  <si>
    <t>TODAY()</t>
  </si>
  <si>
    <t>NOW()</t>
  </si>
  <si>
    <t>🚨 ERROR FUNCTIONS</t>
  </si>
  <si>
    <t>ISERROR</t>
  </si>
  <si>
    <t>ISBLANK</t>
  </si>
  <si>
    <t>IFERROR</t>
  </si>
  <si>
    <t>ISNA</t>
  </si>
  <si>
    <t>IFNA</t>
  </si>
  <si>
    <t>IFERROR(value, value_if_error)</t>
  </si>
  <si>
    <t>ISNUMBER</t>
  </si>
  <si>
    <t>ISBLANK(value)</t>
  </si>
  <si>
    <t>ISERROR(value)</t>
  </si>
  <si>
    <t>ISNA(value)</t>
  </si>
  <si>
    <t>IFNA(value, value_if_na)</t>
  </si>
  <si>
    <t>ISNUMBER(value)</t>
  </si>
  <si>
    <t>AND</t>
  </si>
  <si>
    <t>OR</t>
  </si>
  <si>
    <t>NOT</t>
  </si>
  <si>
    <t>OFFSET</t>
  </si>
  <si>
    <t>INDIRECT</t>
  </si>
  <si>
    <t>CHOOSE</t>
  </si>
  <si>
    <t>TRANSPOSE</t>
  </si>
  <si>
    <t>INDEX</t>
  </si>
  <si>
    <t>MATCH</t>
  </si>
  <si>
    <t>INDEX(array, row_num, [column_num])</t>
  </si>
  <si>
    <t>OFFSET(reference, rows, cols)</t>
  </si>
  <si>
    <t>MATCH(lookup_value, lookup_array, 0)</t>
  </si>
  <si>
    <t>INDIRECT(ref_text)</t>
  </si>
  <si>
    <t>Elaris</t>
  </si>
  <si>
    <t>CHOOSE(index_num, value1, value2, ...)</t>
  </si>
  <si>
    <t>LOOKUP(lookup_value, lookup_vector, result_vector)</t>
  </si>
  <si>
    <t>LOOKUP</t>
  </si>
  <si>
    <t>Paul</t>
  </si>
  <si>
    <t>Jennie</t>
  </si>
  <si>
    <t>Kather</t>
  </si>
  <si>
    <t>TRANSPOSE(array) ---CTRL+SHIFT+ENTER (MUST)</t>
  </si>
  <si>
    <t xml:space="preserve">SUMIFS </t>
  </si>
  <si>
    <t>AND(condition1, condition2, ...)</t>
  </si>
  <si>
    <t>ID</t>
  </si>
  <si>
    <t>Name</t>
  </si>
  <si>
    <t>Age</t>
  </si>
  <si>
    <t>Gender</t>
  </si>
  <si>
    <t>City</t>
  </si>
  <si>
    <t>Score</t>
  </si>
  <si>
    <t>Status</t>
  </si>
  <si>
    <t>Aisha</t>
  </si>
  <si>
    <t>Female</t>
  </si>
  <si>
    <t>Karachi</t>
  </si>
  <si>
    <t>Pass</t>
  </si>
  <si>
    <t>Rahul</t>
  </si>
  <si>
    <t>Male</t>
  </si>
  <si>
    <t>Lahore</t>
  </si>
  <si>
    <t>Fatima</t>
  </si>
  <si>
    <t>Islamabad</t>
  </si>
  <si>
    <t>Ahmed</t>
  </si>
  <si>
    <t>Peshawar</t>
  </si>
  <si>
    <t>Zoya</t>
  </si>
  <si>
    <t>Quetta</t>
  </si>
  <si>
    <t>Ali</t>
  </si>
  <si>
    <t>Multan</t>
  </si>
  <si>
    <t>Fail</t>
  </si>
  <si>
    <t>Sana</t>
  </si>
  <si>
    <t>Faisalabad</t>
  </si>
  <si>
    <t>Bilal</t>
  </si>
  <si>
    <t>Hyderabad</t>
  </si>
  <si>
    <t>Mehak</t>
  </si>
  <si>
    <t>Sialkot</t>
  </si>
  <si>
    <t>Usman</t>
  </si>
  <si>
    <t>Gujranwala</t>
  </si>
  <si>
    <t>OR(condition1, condition2, ...)</t>
  </si>
  <si>
    <t>NOT(condition)</t>
  </si>
  <si>
    <t>IF/AND</t>
  </si>
  <si>
    <t>IF/OR</t>
  </si>
  <si>
    <t>IF/AND/OR</t>
  </si>
  <si>
    <t>IF(AND(condition1, condition2), value_if_true, value_if_false)</t>
  </si>
  <si>
    <t>IF(OR(condition1, condition2), value_if_true, value_if_false)</t>
  </si>
  <si>
    <t>IF(AND(condition1, OR(condition2, condition3)), value_if_true, value_if_false)</t>
  </si>
  <si>
    <t>📊 Statistical &amp; Analysis Functions</t>
  </si>
  <si>
    <t>SUMPRODUCT</t>
  </si>
  <si>
    <t>SUBTOTAL</t>
  </si>
  <si>
    <t>AGGREGATE</t>
  </si>
  <si>
    <t>LARGE</t>
  </si>
  <si>
    <t>RANK</t>
  </si>
  <si>
    <t>PERCENTILE</t>
  </si>
  <si>
    <t>AVERAGE</t>
  </si>
  <si>
    <t>MIN/MAX</t>
  </si>
  <si>
    <t>ROUND</t>
  </si>
  <si>
    <t>CEILING</t>
  </si>
  <si>
    <t>FLOOR</t>
  </si>
  <si>
    <t>ABS</t>
  </si>
  <si>
    <t>ROUNDUP</t>
  </si>
  <si>
    <t>MOD</t>
  </si>
  <si>
    <t>TEXT</t>
  </si>
  <si>
    <t>VALUE</t>
  </si>
  <si>
    <t>REPLACE</t>
  </si>
  <si>
    <t>EXACT</t>
  </si>
  <si>
    <t>ISTEXT</t>
  </si>
  <si>
    <t>EDATE</t>
  </si>
  <si>
    <t>TEXTAFTER</t>
  </si>
  <si>
    <t>TEXTSPLIT</t>
  </si>
  <si>
    <t>ROUNDDOWN</t>
  </si>
  <si>
    <t>SMALL</t>
  </si>
  <si>
    <t>FREQUENCY</t>
  </si>
  <si>
    <t>MEDIAN</t>
  </si>
  <si>
    <t>MEAN</t>
  </si>
  <si>
    <t>MODE.SNGL</t>
  </si>
  <si>
    <t>CORREL</t>
  </si>
  <si>
    <t>FORECAST</t>
  </si>
  <si>
    <t>STDEV.P</t>
  </si>
  <si>
    <t>STDEV.S</t>
  </si>
  <si>
    <t>VAR.P</t>
  </si>
  <si>
    <t>VAR.S</t>
  </si>
  <si>
    <t>💰 Financial &amp; Accounts Functions</t>
  </si>
  <si>
    <t>PMT</t>
  </si>
  <si>
    <t>PV</t>
  </si>
  <si>
    <t>FV</t>
  </si>
  <si>
    <t>NPV</t>
  </si>
  <si>
    <t>IRR</t>
  </si>
  <si>
    <t>RATE</t>
  </si>
  <si>
    <t>DB</t>
  </si>
  <si>
    <t>XNPV</t>
  </si>
  <si>
    <t>XIRR</t>
  </si>
  <si>
    <t>TEXTAFTER(text, delimiter)</t>
  </si>
  <si>
    <t>TEXTSPLIT(text, col_delimiter)</t>
  </si>
  <si>
    <t>not valid</t>
  </si>
  <si>
    <t>TEXT(value, format_text)</t>
  </si>
  <si>
    <t>REPLACE(old_text, start_num, num_chars, new_text)</t>
  </si>
  <si>
    <t>VALUE(text)</t>
  </si>
  <si>
    <t>EXACT(text1, text2)</t>
  </si>
  <si>
    <t>Chair</t>
  </si>
  <si>
    <t>T-Shirt</t>
  </si>
  <si>
    <t>LED TV</t>
  </si>
  <si>
    <t>Notebook</t>
  </si>
  <si>
    <t>ISTEXT(value)</t>
  </si>
  <si>
    <t>ERROR.TYPE</t>
  </si>
  <si>
    <t>ERROR.TYPE(error_val)</t>
  </si>
  <si>
    <t>NPER</t>
  </si>
  <si>
    <t>CUMIPMT</t>
  </si>
  <si>
    <t>CUMPRINC</t>
  </si>
  <si>
    <t>SLN</t>
  </si>
  <si>
    <t>DOLLAR</t>
  </si>
  <si>
    <t>FIXED</t>
  </si>
  <si>
    <t>Price</t>
  </si>
  <si>
    <t>QTY</t>
  </si>
  <si>
    <t>DATEVALUE</t>
  </si>
  <si>
    <t>DATEVALUE("text_date")</t>
  </si>
  <si>
    <t>WEEKDAY</t>
  </si>
  <si>
    <t>WEEKDAY(date, [return_type])</t>
  </si>
  <si>
    <t>EDATE(start_date,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</si>
</sst>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s-420]\ * #,##0.00_-;\-[$Rs-420]\ * #,##0.00_-;_-[$Rs-420]\ * &quot;-&quot;??_-;_-@_-"/>
  </numFmts>
  <fonts count="1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2" borderId="0" xfId="0" applyFont="1" applyFill="1"/>
    <xf numFmtId="0" fontId="0" fillId="0" borderId="0" xfId="0" applyAlignment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2" borderId="0" xfId="0" applyFont="1" applyFill="1"/>
    <xf numFmtId="0" fontId="2" fillId="2" borderId="8" xfId="0" applyFont="1" applyFill="1" applyBorder="1"/>
    <xf numFmtId="0" fontId="0" fillId="3" borderId="0" xfId="0" applyFill="1"/>
    <xf numFmtId="0" fontId="0" fillId="3" borderId="0" xfId="0" applyFill="1" applyAlignment="1"/>
    <xf numFmtId="0" fontId="7" fillId="3" borderId="8" xfId="0" applyFont="1" applyFill="1" applyBorder="1"/>
    <xf numFmtId="0" fontId="5" fillId="0" borderId="0" xfId="0" applyFont="1"/>
    <xf numFmtId="164" fontId="5" fillId="7" borderId="0" xfId="0" applyNumberFormat="1" applyFont="1" applyFill="1"/>
    <xf numFmtId="0" fontId="1" fillId="7" borderId="0" xfId="0" applyFont="1" applyFill="1"/>
    <xf numFmtId="0" fontId="5" fillId="7" borderId="0" xfId="0" applyFont="1" applyFill="1"/>
    <xf numFmtId="0" fontId="0" fillId="7" borderId="0" xfId="0" applyFill="1"/>
    <xf numFmtId="0" fontId="0" fillId="0" borderId="0" xfId="0" applyAlignment="1">
      <alignment wrapText="1"/>
    </xf>
    <xf numFmtId="0" fontId="10" fillId="7" borderId="0" xfId="0" applyFont="1" applyFill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4" fillId="8" borderId="8" xfId="0" applyFont="1" applyFill="1" applyBorder="1" applyAlignment="1">
      <alignment horizontal="center" vertical="center" wrapText="1"/>
    </xf>
    <xf numFmtId="14" fontId="0" fillId="0" borderId="8" xfId="0" applyNumberFormat="1" applyBorder="1"/>
    <xf numFmtId="0" fontId="0" fillId="0" borderId="8" xfId="0" applyBorder="1"/>
    <xf numFmtId="14" fontId="0" fillId="7" borderId="0" xfId="0" applyNumberFormat="1" applyFill="1"/>
    <xf numFmtId="22" fontId="0" fillId="7" borderId="0" xfId="0" applyNumberFormat="1" applyFill="1"/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numFmt numFmtId="164" formatCode="_-[$Rs-420]\ * #,##0.00_-;\-[$Rs-420]\ * #,##0.00_-;_-[$Rs-420]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59.610055671299" createdVersion="6" refreshedVersion="6" minRefreshableVersion="3" recordCount="50">
  <cacheSource type="worksheet">
    <worksheetSource ref="A1:F51" sheet="Cleaned Data"/>
  </cacheSource>
  <cacheFields count="7">
    <cacheField name="Date" numFmtId="14">
      <sharedItems containsSemiMixedTypes="0" containsNonDate="0" containsDate="1" containsString="0" minDate="2025-01-05T00:00:00" maxDate="2025-12-21T00:00:00" count="50">
        <d v="2025-01-05T00:00:00"/>
        <d v="2025-01-12T00:00:00"/>
        <d v="2025-01-20T00:00:00"/>
        <d v="2025-02-02T00:00:00"/>
        <d v="2025-02-14T00:00:00"/>
        <d v="2025-02-25T00:00:00"/>
        <d v="2025-03-03T00:00:00"/>
        <d v="2025-03-15T00:00:00"/>
        <d v="2025-03-22T00:00:00"/>
        <d v="2025-04-01T00:00:00"/>
        <d v="2025-04-10T00:00:00"/>
        <d v="2025-04-18T00:00:00"/>
        <d v="2025-05-05T00:00:00"/>
        <d v="2025-05-14T00:00:00"/>
        <d v="2025-05-23T00:00:00"/>
        <d v="2025-06-02T00:00:00"/>
        <d v="2025-06-12T00:00:00"/>
        <d v="2025-06-25T00:00:00"/>
        <d v="2025-07-04T00:00:00"/>
        <d v="2025-07-15T00:00:00"/>
        <d v="2025-07-27T00:00:00"/>
        <d v="2025-08-03T00:00:00"/>
        <d v="2025-08-14T00:00:00"/>
        <d v="2025-08-26T00:00:00"/>
        <d v="2025-09-05T00:00:00"/>
        <d v="2025-09-17T00:00:00"/>
        <d v="2025-09-28T00:00:00"/>
        <d v="2025-10-03T00:00:00"/>
        <d v="2025-10-12T00:00:00"/>
        <d v="2025-10-25T00:00:00"/>
        <d v="2025-11-02T00:00:00"/>
        <d v="2025-11-11T00:00:00"/>
        <d v="2025-11-19T00:00:00"/>
        <d v="2025-12-01T00:00:00"/>
        <d v="2025-12-08T00:00:00"/>
        <d v="2025-12-15T00:00:00"/>
        <d v="2025-01-28T00:00:00"/>
        <d v="2025-02-18T00:00:00"/>
        <d v="2025-03-30T00:00:00"/>
        <d v="2025-04-22T00:00:00"/>
        <d v="2025-05-30T00:00:00"/>
        <d v="2025-06-18T00:00:00"/>
        <d v="2025-07-20T00:00:00"/>
        <d v="2025-08-29T00:00:00"/>
        <d v="2025-09-09T00:00:00"/>
        <d v="2025-10-18T00:00:00"/>
        <d v="2025-11-25T00:00:00"/>
        <d v="2025-12-20T00:00:00"/>
        <d v="2025-06-29T00:00:00"/>
        <d v="2025-09-21T00:00:00"/>
      </sharedItems>
      <fieldGroup par="6" base="0">
        <rangePr groupBy="days" startDate="2025-01-05T00:00:00" endDate="2025-12-21T00:00:00"/>
        <groupItems count="368">
          <s v="&lt;05-01-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12-25"/>
        </groupItems>
      </fieldGroup>
    </cacheField>
    <cacheField name="Product" numFmtId="0">
      <sharedItems count="50">
        <s v="Laptop"/>
        <s v="Office Chair"/>
        <s v="Men's Jacket"/>
        <s v="LED TV 42&quot;"/>
        <s v="Dining Table"/>
        <s v="Rice 10kg"/>
        <s v="Smartphone"/>
        <s v="Bed Set"/>
        <s v="Women's Handbag"/>
        <s v="Air Conditioner"/>
        <s v="Study Desk"/>
        <s v="Flour 20kg"/>
        <s v="Headphones"/>
        <s v="Sofa Set"/>
        <s v="Men's Shoes"/>
        <s v="Refrigerator"/>
        <s v="Wardrobe"/>
        <s v="Cooking Oil 5L"/>
        <s v="Tablet"/>
        <s v="Office Table"/>
        <s v="Kids T-Shirt"/>
        <s v="Washing Machine"/>
        <s v="Bookshelf"/>
        <s v="Sugar 5kg"/>
        <s v="Bluetooth Speaker"/>
        <s v="Dressing Table"/>
        <s v="Women's Dress"/>
        <s v="Microwave Oven"/>
        <s v="Mattress"/>
        <s v="Tea 1kg"/>
        <s v="Gaming Console"/>
        <s v="Coffee Table"/>
        <s v="Jeans"/>
        <s v="Smart Watch"/>
        <s v="Shoe Rack"/>
        <s v="Milk 1L"/>
        <s v="Printer"/>
        <s v="Curtains Set"/>
        <s v="Hoodie"/>
        <s v="Eggs (Dozen)"/>
        <s v="Power Bank"/>
        <s v="TV Stand"/>
        <s v="Abaya"/>
        <s v="Lentils 2kg"/>
        <s v="Camera"/>
        <s v="Computer Table"/>
        <s v="Jacket"/>
        <s v="Bottled Water Pack"/>
        <s v="UPS"/>
        <s v="Bed Sheet Set"/>
      </sharedItems>
    </cacheField>
    <cacheField name="Category" numFmtId="0">
      <sharedItems count="4">
        <s v="Electronics"/>
        <s v="Furniture"/>
        <s v="Clothing"/>
        <s v="Groceries"/>
      </sharedItems>
    </cacheField>
    <cacheField name="Region" numFmtId="0">
      <sharedItems count="4">
        <s v="North"/>
        <s v="South"/>
        <s v="East"/>
        <s v="West"/>
      </sharedItems>
    </cacheField>
    <cacheField name="Price (PKR)" numFmtId="164">
      <sharedItems containsSemiMixedTypes="0" containsString="0" containsNumber="1" containsInteger="1" minValue="220" maxValue="185000"/>
    </cacheField>
    <cacheField name="Quantity" numFmtId="0">
      <sharedItems containsSemiMixedTypes="0" containsString="0" containsNumber="1" containsInteger="1" minValue="1" maxValue="25"/>
    </cacheField>
    <cacheField name="Months" numFmtId="0" databaseField="0">
      <fieldGroup base="0">
        <rangePr groupBy="months" startDate="2025-01-05T00:00:00" endDate="2025-12-21T00:00:00"/>
        <groupItems count="14">
          <s v="&lt;05-0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2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n v="185000"/>
    <n v="2"/>
  </r>
  <r>
    <x v="1"/>
    <x v="1"/>
    <x v="1"/>
    <x v="1"/>
    <n v="18500"/>
    <n v="4"/>
  </r>
  <r>
    <x v="2"/>
    <x v="2"/>
    <x v="2"/>
    <x v="2"/>
    <n v="6500"/>
    <n v="6"/>
  </r>
  <r>
    <x v="3"/>
    <x v="3"/>
    <x v="0"/>
    <x v="3"/>
    <n v="98000"/>
    <n v="3"/>
  </r>
  <r>
    <x v="4"/>
    <x v="4"/>
    <x v="1"/>
    <x v="0"/>
    <n v="75000"/>
    <n v="1"/>
  </r>
  <r>
    <x v="5"/>
    <x v="5"/>
    <x v="3"/>
    <x v="1"/>
    <n v="4200"/>
    <n v="8"/>
  </r>
  <r>
    <x v="6"/>
    <x v="6"/>
    <x v="0"/>
    <x v="2"/>
    <n v="72000"/>
    <n v="5"/>
  </r>
  <r>
    <x v="7"/>
    <x v="7"/>
    <x v="1"/>
    <x v="3"/>
    <n v="135000"/>
    <n v="1"/>
  </r>
  <r>
    <x v="8"/>
    <x v="8"/>
    <x v="2"/>
    <x v="0"/>
    <n v="4500"/>
    <n v="7"/>
  </r>
  <r>
    <x v="9"/>
    <x v="9"/>
    <x v="0"/>
    <x v="1"/>
    <n v="165000"/>
    <n v="2"/>
  </r>
  <r>
    <x v="10"/>
    <x v="10"/>
    <x v="1"/>
    <x v="2"/>
    <n v="22000"/>
    <n v="3"/>
  </r>
  <r>
    <x v="11"/>
    <x v="11"/>
    <x v="3"/>
    <x v="3"/>
    <n v="3100"/>
    <n v="10"/>
  </r>
  <r>
    <x v="12"/>
    <x v="12"/>
    <x v="0"/>
    <x v="0"/>
    <n v="8500"/>
    <n v="6"/>
  </r>
  <r>
    <x v="13"/>
    <x v="13"/>
    <x v="1"/>
    <x v="1"/>
    <n v="120000"/>
    <n v="1"/>
  </r>
  <r>
    <x v="14"/>
    <x v="14"/>
    <x v="2"/>
    <x v="2"/>
    <n v="7500"/>
    <n v="5"/>
  </r>
  <r>
    <x v="15"/>
    <x v="15"/>
    <x v="0"/>
    <x v="3"/>
    <n v="155000"/>
    <n v="2"/>
  </r>
  <r>
    <x v="16"/>
    <x v="16"/>
    <x v="1"/>
    <x v="0"/>
    <n v="68000"/>
    <n v="2"/>
  </r>
  <r>
    <x v="17"/>
    <x v="17"/>
    <x v="3"/>
    <x v="1"/>
    <n v="2800"/>
    <n v="9"/>
  </r>
  <r>
    <x v="18"/>
    <x v="18"/>
    <x v="0"/>
    <x v="2"/>
    <n v="48000"/>
    <n v="4"/>
  </r>
  <r>
    <x v="19"/>
    <x v="19"/>
    <x v="1"/>
    <x v="3"/>
    <n v="34000"/>
    <n v="3"/>
  </r>
  <r>
    <x v="20"/>
    <x v="20"/>
    <x v="2"/>
    <x v="0"/>
    <n v="1200"/>
    <n v="12"/>
  </r>
  <r>
    <x v="21"/>
    <x v="21"/>
    <x v="0"/>
    <x v="1"/>
    <n v="142000"/>
    <n v="2"/>
  </r>
  <r>
    <x v="22"/>
    <x v="22"/>
    <x v="1"/>
    <x v="2"/>
    <n v="15000"/>
    <n v="5"/>
  </r>
  <r>
    <x v="23"/>
    <x v="23"/>
    <x v="3"/>
    <x v="3"/>
    <n v="950"/>
    <n v="15"/>
  </r>
  <r>
    <x v="24"/>
    <x v="24"/>
    <x v="0"/>
    <x v="0"/>
    <n v="13500"/>
    <n v="6"/>
  </r>
  <r>
    <x v="25"/>
    <x v="25"/>
    <x v="1"/>
    <x v="1"/>
    <n v="28500"/>
    <n v="3"/>
  </r>
  <r>
    <x v="26"/>
    <x v="26"/>
    <x v="2"/>
    <x v="2"/>
    <n v="5500"/>
    <n v="8"/>
  </r>
  <r>
    <x v="27"/>
    <x v="27"/>
    <x v="0"/>
    <x v="3"/>
    <n v="36500"/>
    <n v="4"/>
  </r>
  <r>
    <x v="28"/>
    <x v="28"/>
    <x v="1"/>
    <x v="0"/>
    <n v="24000"/>
    <n v="3"/>
  </r>
  <r>
    <x v="29"/>
    <x v="29"/>
    <x v="3"/>
    <x v="1"/>
    <n v="1800"/>
    <n v="11"/>
  </r>
  <r>
    <x v="30"/>
    <x v="30"/>
    <x v="0"/>
    <x v="2"/>
    <n v="125000"/>
    <n v="2"/>
  </r>
  <r>
    <x v="31"/>
    <x v="31"/>
    <x v="1"/>
    <x v="3"/>
    <n v="16500"/>
    <n v="4"/>
  </r>
  <r>
    <x v="32"/>
    <x v="32"/>
    <x v="2"/>
    <x v="0"/>
    <n v="4000"/>
    <n v="9"/>
  </r>
  <r>
    <x v="33"/>
    <x v="33"/>
    <x v="0"/>
    <x v="1"/>
    <n v="22000"/>
    <n v="5"/>
  </r>
  <r>
    <x v="34"/>
    <x v="34"/>
    <x v="1"/>
    <x v="2"/>
    <n v="9500"/>
    <n v="6"/>
  </r>
  <r>
    <x v="35"/>
    <x v="35"/>
    <x v="3"/>
    <x v="3"/>
    <n v="220"/>
    <n v="25"/>
  </r>
  <r>
    <x v="36"/>
    <x v="36"/>
    <x v="0"/>
    <x v="0"/>
    <n v="45000"/>
    <n v="3"/>
  </r>
  <r>
    <x v="37"/>
    <x v="37"/>
    <x v="1"/>
    <x v="1"/>
    <n v="12500"/>
    <n v="4"/>
  </r>
  <r>
    <x v="38"/>
    <x v="38"/>
    <x v="2"/>
    <x v="2"/>
    <n v="3200"/>
    <n v="7"/>
  </r>
  <r>
    <x v="39"/>
    <x v="39"/>
    <x v="3"/>
    <x v="3"/>
    <n v="420"/>
    <n v="20"/>
  </r>
  <r>
    <x v="40"/>
    <x v="40"/>
    <x v="0"/>
    <x v="0"/>
    <n v="4500"/>
    <n v="10"/>
  </r>
  <r>
    <x v="41"/>
    <x v="41"/>
    <x v="1"/>
    <x v="1"/>
    <n v="18500"/>
    <n v="3"/>
  </r>
  <r>
    <x v="42"/>
    <x v="42"/>
    <x v="2"/>
    <x v="2"/>
    <n v="6000"/>
    <n v="5"/>
  </r>
  <r>
    <x v="43"/>
    <x v="43"/>
    <x v="3"/>
    <x v="3"/>
    <n v="680"/>
    <n v="14"/>
  </r>
  <r>
    <x v="44"/>
    <x v="44"/>
    <x v="0"/>
    <x v="0"/>
    <n v="165000"/>
    <n v="1"/>
  </r>
  <r>
    <x v="45"/>
    <x v="45"/>
    <x v="1"/>
    <x v="1"/>
    <n v="27000"/>
    <n v="2"/>
  </r>
  <r>
    <x v="46"/>
    <x v="46"/>
    <x v="2"/>
    <x v="2"/>
    <n v="8500"/>
    <n v="4"/>
  </r>
  <r>
    <x v="47"/>
    <x v="47"/>
    <x v="3"/>
    <x v="3"/>
    <n v="1200"/>
    <n v="18"/>
  </r>
  <r>
    <x v="48"/>
    <x v="48"/>
    <x v="0"/>
    <x v="0"/>
    <n v="55000"/>
    <n v="3"/>
  </r>
  <r>
    <x v="49"/>
    <x v="49"/>
    <x v="1"/>
    <x v="1"/>
    <n v="750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F58" firstHeaderRow="1" firstDataRow="2" firstDataCol="1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1">
        <item x="42"/>
        <item x="9"/>
        <item x="7"/>
        <item x="49"/>
        <item x="24"/>
        <item x="22"/>
        <item x="47"/>
        <item x="44"/>
        <item x="31"/>
        <item x="45"/>
        <item x="17"/>
        <item x="37"/>
        <item x="4"/>
        <item x="25"/>
        <item x="39"/>
        <item x="11"/>
        <item x="30"/>
        <item x="12"/>
        <item x="38"/>
        <item x="46"/>
        <item x="32"/>
        <item x="20"/>
        <item x="0"/>
        <item x="3"/>
        <item x="43"/>
        <item x="28"/>
        <item x="2"/>
        <item x="14"/>
        <item x="27"/>
        <item x="35"/>
        <item x="1"/>
        <item x="19"/>
        <item x="40"/>
        <item x="36"/>
        <item x="15"/>
        <item x="5"/>
        <item x="34"/>
        <item x="33"/>
        <item x="6"/>
        <item x="13"/>
        <item x="10"/>
        <item x="23"/>
        <item x="18"/>
        <item x="29"/>
        <item x="41"/>
        <item x="48"/>
        <item x="16"/>
        <item x="21"/>
        <item x="26"/>
        <item x="8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numFmtId="164" showAll="0"/>
    <pivotField showAll="0"/>
    <pivotField showAll="0" defaultSubtotal="0">
      <items count="14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 (PKR)" fld="4" baseField="1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F51" totalsRowShown="0" headerRowDxfId="7" dataDxfId="6">
  <autoFilter ref="A1:F51"/>
  <tableColumns count="6">
    <tableColumn id="1" name="Date" dataDxfId="5"/>
    <tableColumn id="2" name="Product" dataDxfId="4"/>
    <tableColumn id="3" name="Category" dataDxfId="3"/>
    <tableColumn id="4" name="Region" dataDxfId="2"/>
    <tableColumn id="5" name="Price (PKR)" dataDxfId="1"/>
    <tableColumn id="6" name="Quantity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L13" sqref="L13"/>
    </sheetView>
  </sheetViews>
  <sheetFormatPr defaultRowHeight="14.25" x14ac:dyDescent="0.2"/>
  <cols>
    <col min="8" max="8" width="25.875" bestFit="1" customWidth="1"/>
  </cols>
  <sheetData>
    <row r="1" spans="1:8" ht="14.25" customHeight="1" thickBot="1" x14ac:dyDescent="0.25"/>
    <row r="2" spans="1:8" ht="15" customHeight="1" x14ac:dyDescent="0.2">
      <c r="A2" s="27" t="s">
        <v>146</v>
      </c>
      <c r="B2" s="28"/>
      <c r="C2" s="28"/>
      <c r="D2" s="28"/>
      <c r="E2" s="29"/>
    </row>
    <row r="3" spans="1:8" ht="15" customHeight="1" thickBot="1" x14ac:dyDescent="0.25">
      <c r="A3" s="30"/>
      <c r="B3" s="31"/>
      <c r="C3" s="31"/>
      <c r="D3" s="31"/>
      <c r="E3" s="32"/>
    </row>
    <row r="4" spans="1:8" ht="15" customHeight="1" x14ac:dyDescent="0.2"/>
    <row r="5" spans="1:8" ht="15" x14ac:dyDescent="0.25">
      <c r="A5" s="11" t="s">
        <v>64</v>
      </c>
      <c r="H5" s="21" t="s">
        <v>147</v>
      </c>
    </row>
    <row r="6" spans="1:8" x14ac:dyDescent="0.2">
      <c r="A6" t="s">
        <v>65</v>
      </c>
      <c r="C6" s="13"/>
    </row>
    <row r="7" spans="1:8" x14ac:dyDescent="0.2">
      <c r="A7" s="13" t="s">
        <v>66</v>
      </c>
      <c r="E7" s="11"/>
    </row>
    <row r="8" spans="1:8" ht="15.75" x14ac:dyDescent="0.25">
      <c r="A8" t="s">
        <v>67</v>
      </c>
      <c r="H8" s="15" t="s">
        <v>137</v>
      </c>
    </row>
    <row r="9" spans="1:8" ht="15.75" x14ac:dyDescent="0.25">
      <c r="H9" s="15" t="s">
        <v>138</v>
      </c>
    </row>
    <row r="10" spans="1:8" ht="15.75" x14ac:dyDescent="0.25">
      <c r="A10" t="s">
        <v>68</v>
      </c>
      <c r="C10" s="11"/>
      <c r="H10" s="15" t="s">
        <v>139</v>
      </c>
    </row>
    <row r="11" spans="1:8" ht="15.75" x14ac:dyDescent="0.25">
      <c r="A11" t="s">
        <v>69</v>
      </c>
      <c r="H11" s="15" t="s">
        <v>140</v>
      </c>
    </row>
    <row r="12" spans="1:8" ht="15.75" x14ac:dyDescent="0.25">
      <c r="A12" t="s">
        <v>70</v>
      </c>
      <c r="B12" s="13"/>
      <c r="H12" s="15" t="s">
        <v>141</v>
      </c>
    </row>
    <row r="13" spans="1:8" ht="15.75" x14ac:dyDescent="0.25">
      <c r="A13" t="s">
        <v>71</v>
      </c>
      <c r="H13" s="15" t="s">
        <v>142</v>
      </c>
    </row>
    <row r="14" spans="1:8" ht="15.75" x14ac:dyDescent="0.25">
      <c r="H14" s="15" t="s">
        <v>143</v>
      </c>
    </row>
    <row r="15" spans="1:8" ht="15.75" x14ac:dyDescent="0.25">
      <c r="A15" t="s">
        <v>72</v>
      </c>
      <c r="H15" s="15" t="s">
        <v>144</v>
      </c>
    </row>
    <row r="16" spans="1:8" ht="15.75" x14ac:dyDescent="0.25">
      <c r="A16" t="s">
        <v>73</v>
      </c>
      <c r="H16" s="15" t="s">
        <v>145</v>
      </c>
    </row>
    <row r="17" spans="1:5" x14ac:dyDescent="0.2">
      <c r="A17" t="s">
        <v>74</v>
      </c>
      <c r="B17" s="11"/>
    </row>
    <row r="18" spans="1:5" x14ac:dyDescent="0.2">
      <c r="A18" t="s">
        <v>75</v>
      </c>
    </row>
    <row r="19" spans="1:5" x14ac:dyDescent="0.2">
      <c r="D19" s="11"/>
    </row>
    <row r="20" spans="1:5" x14ac:dyDescent="0.2">
      <c r="A20" t="s">
        <v>76</v>
      </c>
    </row>
    <row r="21" spans="1:5" x14ac:dyDescent="0.2">
      <c r="A21" s="13" t="s">
        <v>77</v>
      </c>
    </row>
    <row r="22" spans="1:5" x14ac:dyDescent="0.2">
      <c r="A22" t="s">
        <v>78</v>
      </c>
      <c r="C22" s="12"/>
    </row>
    <row r="23" spans="1:5" x14ac:dyDescent="0.2">
      <c r="A23" t="s">
        <v>79</v>
      </c>
    </row>
    <row r="25" spans="1:5" x14ac:dyDescent="0.2">
      <c r="A25" t="s">
        <v>80</v>
      </c>
      <c r="B25" s="11"/>
    </row>
    <row r="26" spans="1:5" x14ac:dyDescent="0.2">
      <c r="A26" t="s">
        <v>81</v>
      </c>
      <c r="D26" s="13"/>
    </row>
    <row r="27" spans="1:5" x14ac:dyDescent="0.2">
      <c r="A27" t="s">
        <v>82</v>
      </c>
      <c r="B27" s="12"/>
      <c r="E27" s="11"/>
    </row>
    <row r="28" spans="1:5" x14ac:dyDescent="0.2">
      <c r="A28" t="s">
        <v>83</v>
      </c>
    </row>
    <row r="30" spans="1:5" x14ac:dyDescent="0.2">
      <c r="A30" t="s">
        <v>84</v>
      </c>
    </row>
    <row r="31" spans="1:5" x14ac:dyDescent="0.2">
      <c r="A31" t="s">
        <v>85</v>
      </c>
      <c r="B31" s="11"/>
    </row>
    <row r="32" spans="1:5" x14ac:dyDescent="0.2">
      <c r="A32" t="s">
        <v>86</v>
      </c>
    </row>
    <row r="33" spans="1:5" x14ac:dyDescent="0.2">
      <c r="A33" t="s">
        <v>87</v>
      </c>
    </row>
    <row r="35" spans="1:5" x14ac:dyDescent="0.2">
      <c r="A35" t="s">
        <v>88</v>
      </c>
    </row>
    <row r="36" spans="1:5" x14ac:dyDescent="0.2">
      <c r="A36" t="s">
        <v>89</v>
      </c>
      <c r="D36" s="11"/>
    </row>
    <row r="37" spans="1:5" x14ac:dyDescent="0.2">
      <c r="A37" t="s">
        <v>90</v>
      </c>
      <c r="B37" s="11"/>
    </row>
    <row r="38" spans="1:5" x14ac:dyDescent="0.2">
      <c r="A38" t="s">
        <v>91</v>
      </c>
    </row>
    <row r="40" spans="1:5" x14ac:dyDescent="0.2">
      <c r="A40" t="s">
        <v>92</v>
      </c>
    </row>
    <row r="41" spans="1:5" x14ac:dyDescent="0.2">
      <c r="A41" t="s">
        <v>93</v>
      </c>
      <c r="C41" s="12"/>
    </row>
    <row r="42" spans="1:5" x14ac:dyDescent="0.2">
      <c r="A42" t="s">
        <v>94</v>
      </c>
      <c r="E42" s="11"/>
    </row>
    <row r="43" spans="1:5" x14ac:dyDescent="0.2">
      <c r="A43" s="11" t="s">
        <v>95</v>
      </c>
    </row>
    <row r="45" spans="1:5" x14ac:dyDescent="0.2">
      <c r="A45" t="s">
        <v>96</v>
      </c>
    </row>
    <row r="46" spans="1:5" x14ac:dyDescent="0.2">
      <c r="A46" t="s">
        <v>97</v>
      </c>
      <c r="B46" s="12"/>
      <c r="D46" s="12"/>
    </row>
    <row r="47" spans="1:5" x14ac:dyDescent="0.2">
      <c r="A47" t="s">
        <v>98</v>
      </c>
      <c r="C47" s="11"/>
    </row>
    <row r="48" spans="1:5" x14ac:dyDescent="0.2">
      <c r="A48" t="s">
        <v>99</v>
      </c>
    </row>
    <row r="50" spans="1:5" x14ac:dyDescent="0.2">
      <c r="A50" s="11" t="s">
        <v>100</v>
      </c>
    </row>
    <row r="51" spans="1:5" x14ac:dyDescent="0.2">
      <c r="A51" t="s">
        <v>101</v>
      </c>
    </row>
    <row r="52" spans="1:5" x14ac:dyDescent="0.2">
      <c r="A52" t="s">
        <v>102</v>
      </c>
      <c r="C52" s="11"/>
      <c r="E52" s="12"/>
    </row>
    <row r="53" spans="1:5" x14ac:dyDescent="0.2">
      <c r="A53" t="s">
        <v>103</v>
      </c>
    </row>
    <row r="55" spans="1:5" x14ac:dyDescent="0.2">
      <c r="A55" s="11" t="s">
        <v>104</v>
      </c>
      <c r="C55" s="11"/>
    </row>
    <row r="56" spans="1:5" x14ac:dyDescent="0.2">
      <c r="A56" t="s">
        <v>105</v>
      </c>
      <c r="B56" s="12"/>
    </row>
    <row r="57" spans="1:5" x14ac:dyDescent="0.2">
      <c r="A57" t="s">
        <v>106</v>
      </c>
      <c r="D57" s="11"/>
      <c r="E57" s="12"/>
    </row>
    <row r="58" spans="1:5" x14ac:dyDescent="0.2">
      <c r="A58" t="s">
        <v>107</v>
      </c>
      <c r="B58" s="11"/>
    </row>
    <row r="60" spans="1:5" x14ac:dyDescent="0.2">
      <c r="A60" s="11" t="s">
        <v>108</v>
      </c>
      <c r="E60" s="11"/>
    </row>
    <row r="61" spans="1:5" x14ac:dyDescent="0.2">
      <c r="A61" t="s">
        <v>109</v>
      </c>
      <c r="C61" s="11"/>
    </row>
    <row r="62" spans="1:5" x14ac:dyDescent="0.2">
      <c r="A62" t="s">
        <v>110</v>
      </c>
      <c r="D62" s="12"/>
    </row>
    <row r="63" spans="1:5" x14ac:dyDescent="0.2">
      <c r="A63" t="s">
        <v>111</v>
      </c>
      <c r="B63" s="11"/>
    </row>
  </sheetData>
  <mergeCells count="1">
    <mergeCell ref="A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zoomScale="90" zoomScaleNormal="90" workbookViewId="0">
      <selection activeCell="K10" sqref="K10"/>
    </sheetView>
  </sheetViews>
  <sheetFormatPr defaultRowHeight="14.25" x14ac:dyDescent="0.2"/>
  <cols>
    <col min="1" max="1" width="8.125" bestFit="1" customWidth="1"/>
    <col min="2" max="2" width="19.5" customWidth="1"/>
    <col min="3" max="3" width="11.5" customWidth="1"/>
    <col min="4" max="4" width="8.875" customWidth="1"/>
    <col min="5" max="5" width="13.875" bestFit="1" customWidth="1"/>
    <col min="6" max="6" width="8.625" customWidth="1"/>
    <col min="9" max="9" width="11" bestFit="1" customWidth="1"/>
  </cols>
  <sheetData>
    <row r="1" spans="1:1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H1" s="49" t="s">
        <v>0</v>
      </c>
      <c r="I1" s="49" t="s">
        <v>1</v>
      </c>
      <c r="J1" s="49" t="s">
        <v>2</v>
      </c>
      <c r="K1" s="49" t="s">
        <v>3</v>
      </c>
      <c r="L1" s="49" t="s">
        <v>342</v>
      </c>
      <c r="M1" s="49" t="s">
        <v>343</v>
      </c>
    </row>
    <row r="2" spans="1:13" x14ac:dyDescent="0.2">
      <c r="A2" s="2">
        <v>45662</v>
      </c>
      <c r="B2" s="3" t="s">
        <v>5</v>
      </c>
      <c r="C2" s="3" t="s">
        <v>6</v>
      </c>
      <c r="D2" s="3" t="s">
        <v>7</v>
      </c>
      <c r="E2" s="4">
        <v>185000</v>
      </c>
      <c r="F2" s="3">
        <v>2</v>
      </c>
      <c r="H2" s="50">
        <v>45662</v>
      </c>
      <c r="I2" s="51" t="str">
        <f>VLOOKUP($H$2,$A$1:$F$51,COLUMN()-7,0)</f>
        <v>Laptop</v>
      </c>
      <c r="J2" s="51" t="str">
        <f t="shared" ref="J2:M2" si="0">VLOOKUP($H$2,$A$1:$F$51,COLUMN()-7,0)</f>
        <v>Electronics</v>
      </c>
      <c r="K2" s="51" t="str">
        <f t="shared" si="0"/>
        <v>North</v>
      </c>
      <c r="L2" s="51">
        <f t="shared" si="0"/>
        <v>185000</v>
      </c>
      <c r="M2" s="51">
        <f t="shared" si="0"/>
        <v>2</v>
      </c>
    </row>
    <row r="3" spans="1:13" x14ac:dyDescent="0.2">
      <c r="A3" s="2">
        <v>45669</v>
      </c>
      <c r="B3" s="3" t="s">
        <v>22</v>
      </c>
      <c r="C3" s="3" t="s">
        <v>10</v>
      </c>
      <c r="D3" s="3" t="s">
        <v>9</v>
      </c>
      <c r="E3" s="4">
        <v>18500</v>
      </c>
      <c r="F3" s="3">
        <v>4</v>
      </c>
    </row>
    <row r="4" spans="1:13" x14ac:dyDescent="0.2">
      <c r="A4" s="2">
        <v>45677</v>
      </c>
      <c r="B4" s="3" t="s">
        <v>27</v>
      </c>
      <c r="C4" s="3" t="s">
        <v>14</v>
      </c>
      <c r="D4" s="3" t="s">
        <v>11</v>
      </c>
      <c r="E4" s="4">
        <v>6500</v>
      </c>
      <c r="F4" s="3">
        <v>6</v>
      </c>
    </row>
    <row r="5" spans="1:13" x14ac:dyDescent="0.2">
      <c r="A5" s="2">
        <v>45690</v>
      </c>
      <c r="B5" s="3" t="s">
        <v>28</v>
      </c>
      <c r="C5" s="3" t="s">
        <v>6</v>
      </c>
      <c r="D5" s="3" t="s">
        <v>12</v>
      </c>
      <c r="E5" s="4">
        <v>98000</v>
      </c>
      <c r="F5" s="3">
        <v>3</v>
      </c>
    </row>
    <row r="6" spans="1:13" x14ac:dyDescent="0.2">
      <c r="A6" s="2">
        <v>45702</v>
      </c>
      <c r="B6" s="3" t="s">
        <v>29</v>
      </c>
      <c r="C6" s="3" t="s">
        <v>10</v>
      </c>
      <c r="D6" s="3" t="s">
        <v>7</v>
      </c>
      <c r="E6" s="4">
        <v>75000</v>
      </c>
      <c r="F6" s="3">
        <v>1</v>
      </c>
    </row>
    <row r="7" spans="1:13" x14ac:dyDescent="0.2">
      <c r="A7" s="2">
        <v>45713</v>
      </c>
      <c r="B7" s="3" t="s">
        <v>30</v>
      </c>
      <c r="C7" s="3" t="s">
        <v>15</v>
      </c>
      <c r="D7" s="3" t="s">
        <v>9</v>
      </c>
      <c r="E7" s="4">
        <v>4200</v>
      </c>
      <c r="F7" s="3">
        <v>8</v>
      </c>
    </row>
    <row r="8" spans="1:13" x14ac:dyDescent="0.2">
      <c r="A8" s="2">
        <v>45719</v>
      </c>
      <c r="B8" s="3" t="s">
        <v>13</v>
      </c>
      <c r="C8" s="3" t="s">
        <v>6</v>
      </c>
      <c r="D8" s="3" t="s">
        <v>11</v>
      </c>
      <c r="E8" s="4">
        <v>72000</v>
      </c>
      <c r="F8" s="3">
        <v>5</v>
      </c>
    </row>
    <row r="9" spans="1:13" x14ac:dyDescent="0.2">
      <c r="A9" s="2">
        <v>45731</v>
      </c>
      <c r="B9" s="3" t="s">
        <v>31</v>
      </c>
      <c r="C9" s="3" t="s">
        <v>10</v>
      </c>
      <c r="D9" s="3" t="s">
        <v>12</v>
      </c>
      <c r="E9" s="4">
        <v>135000</v>
      </c>
      <c r="F9" s="3">
        <v>1</v>
      </c>
    </row>
    <row r="10" spans="1:13" x14ac:dyDescent="0.2">
      <c r="A10" s="2">
        <v>45738</v>
      </c>
      <c r="B10" s="3" t="s">
        <v>32</v>
      </c>
      <c r="C10" s="3" t="s">
        <v>14</v>
      </c>
      <c r="D10" s="3" t="s">
        <v>7</v>
      </c>
      <c r="E10" s="4">
        <v>4500</v>
      </c>
      <c r="F10" s="3">
        <v>7</v>
      </c>
    </row>
    <row r="11" spans="1:13" x14ac:dyDescent="0.2">
      <c r="A11" s="2">
        <v>45748</v>
      </c>
      <c r="B11" s="3" t="s">
        <v>33</v>
      </c>
      <c r="C11" s="3" t="s">
        <v>6</v>
      </c>
      <c r="D11" s="3" t="s">
        <v>9</v>
      </c>
      <c r="E11" s="4">
        <v>165000</v>
      </c>
      <c r="F11" s="3">
        <v>2</v>
      </c>
    </row>
    <row r="12" spans="1:13" x14ac:dyDescent="0.2">
      <c r="A12" s="2">
        <v>45757</v>
      </c>
      <c r="B12" s="3" t="s">
        <v>34</v>
      </c>
      <c r="C12" s="3" t="s">
        <v>10</v>
      </c>
      <c r="D12" s="3" t="s">
        <v>11</v>
      </c>
      <c r="E12" s="4">
        <v>22000</v>
      </c>
      <c r="F12" s="3">
        <v>3</v>
      </c>
    </row>
    <row r="13" spans="1:13" x14ac:dyDescent="0.2">
      <c r="A13" s="2">
        <v>45765</v>
      </c>
      <c r="B13" s="3" t="s">
        <v>35</v>
      </c>
      <c r="C13" s="3" t="s">
        <v>15</v>
      </c>
      <c r="D13" s="3" t="s">
        <v>12</v>
      </c>
      <c r="E13" s="4">
        <v>3100</v>
      </c>
      <c r="F13" s="3">
        <v>10</v>
      </c>
    </row>
    <row r="14" spans="1:13" x14ac:dyDescent="0.2">
      <c r="A14" s="2">
        <v>45782</v>
      </c>
      <c r="B14" s="3" t="s">
        <v>8</v>
      </c>
      <c r="C14" s="3" t="s">
        <v>6</v>
      </c>
      <c r="D14" s="3" t="s">
        <v>7</v>
      </c>
      <c r="E14" s="4">
        <v>8500</v>
      </c>
      <c r="F14" s="3">
        <v>6</v>
      </c>
    </row>
    <row r="15" spans="1:13" x14ac:dyDescent="0.2">
      <c r="A15" s="2">
        <v>45791</v>
      </c>
      <c r="B15" s="3" t="s">
        <v>36</v>
      </c>
      <c r="C15" s="3" t="s">
        <v>10</v>
      </c>
      <c r="D15" s="3" t="s">
        <v>9</v>
      </c>
      <c r="E15" s="4">
        <v>120000</v>
      </c>
      <c r="F15" s="3">
        <v>1</v>
      </c>
    </row>
    <row r="16" spans="1:13" x14ac:dyDescent="0.2">
      <c r="A16" s="2">
        <v>45800</v>
      </c>
      <c r="B16" s="3" t="s">
        <v>37</v>
      </c>
      <c r="C16" s="3" t="s">
        <v>14</v>
      </c>
      <c r="D16" s="3" t="s">
        <v>11</v>
      </c>
      <c r="E16" s="4">
        <v>7500</v>
      </c>
      <c r="F16" s="3">
        <v>5</v>
      </c>
    </row>
    <row r="17" spans="1:6" x14ac:dyDescent="0.2">
      <c r="A17" s="2">
        <v>45810</v>
      </c>
      <c r="B17" s="3" t="s">
        <v>38</v>
      </c>
      <c r="C17" s="3" t="s">
        <v>6</v>
      </c>
      <c r="D17" s="3" t="s">
        <v>12</v>
      </c>
      <c r="E17" s="4">
        <v>155000</v>
      </c>
      <c r="F17" s="3">
        <v>2</v>
      </c>
    </row>
    <row r="18" spans="1:6" x14ac:dyDescent="0.2">
      <c r="A18" s="2">
        <v>45820</v>
      </c>
      <c r="B18" s="3" t="s">
        <v>23</v>
      </c>
      <c r="C18" s="3" t="s">
        <v>10</v>
      </c>
      <c r="D18" s="3" t="s">
        <v>7</v>
      </c>
      <c r="E18" s="4">
        <v>68000</v>
      </c>
      <c r="F18" s="3">
        <v>2</v>
      </c>
    </row>
    <row r="19" spans="1:6" x14ac:dyDescent="0.2">
      <c r="A19" s="2">
        <v>45833</v>
      </c>
      <c r="B19" s="3" t="s">
        <v>39</v>
      </c>
      <c r="C19" s="3" t="s">
        <v>15</v>
      </c>
      <c r="D19" s="3" t="s">
        <v>9</v>
      </c>
      <c r="E19" s="4">
        <v>2800</v>
      </c>
      <c r="F19" s="3">
        <v>9</v>
      </c>
    </row>
    <row r="20" spans="1:6" x14ac:dyDescent="0.2">
      <c r="A20" s="2">
        <v>45842</v>
      </c>
      <c r="B20" s="3" t="s">
        <v>19</v>
      </c>
      <c r="C20" s="3" t="s">
        <v>6</v>
      </c>
      <c r="D20" s="3" t="s">
        <v>11</v>
      </c>
      <c r="E20" s="4">
        <v>48000</v>
      </c>
      <c r="F20" s="3">
        <v>4</v>
      </c>
    </row>
    <row r="21" spans="1:6" x14ac:dyDescent="0.2">
      <c r="A21" s="2">
        <v>45853</v>
      </c>
      <c r="B21" s="3" t="s">
        <v>40</v>
      </c>
      <c r="C21" s="3" t="s">
        <v>10</v>
      </c>
      <c r="D21" s="3" t="s">
        <v>12</v>
      </c>
      <c r="E21" s="4">
        <v>34000</v>
      </c>
      <c r="F21" s="3">
        <v>3</v>
      </c>
    </row>
    <row r="22" spans="1:6" x14ac:dyDescent="0.2">
      <c r="A22" s="2">
        <v>45865</v>
      </c>
      <c r="B22" s="3" t="s">
        <v>41</v>
      </c>
      <c r="C22" s="3" t="s">
        <v>14</v>
      </c>
      <c r="D22" s="3" t="s">
        <v>7</v>
      </c>
      <c r="E22" s="4">
        <v>1200</v>
      </c>
      <c r="F22" s="3">
        <v>12</v>
      </c>
    </row>
    <row r="23" spans="1:6" x14ac:dyDescent="0.2">
      <c r="A23" s="2">
        <v>45872</v>
      </c>
      <c r="B23" s="3" t="s">
        <v>42</v>
      </c>
      <c r="C23" s="3" t="s">
        <v>6</v>
      </c>
      <c r="D23" s="3" t="s">
        <v>9</v>
      </c>
      <c r="E23" s="4">
        <v>142000</v>
      </c>
      <c r="F23" s="3">
        <v>2</v>
      </c>
    </row>
    <row r="24" spans="1:6" x14ac:dyDescent="0.2">
      <c r="A24" s="2">
        <v>45883</v>
      </c>
      <c r="B24" s="3" t="s">
        <v>43</v>
      </c>
      <c r="C24" s="3" t="s">
        <v>10</v>
      </c>
      <c r="D24" s="3" t="s">
        <v>11</v>
      </c>
      <c r="E24" s="4">
        <v>15000</v>
      </c>
      <c r="F24" s="3">
        <v>5</v>
      </c>
    </row>
    <row r="25" spans="1:6" x14ac:dyDescent="0.2">
      <c r="A25" s="2">
        <v>45895</v>
      </c>
      <c r="B25" s="3" t="s">
        <v>44</v>
      </c>
      <c r="C25" s="3" t="s">
        <v>15</v>
      </c>
      <c r="D25" s="3" t="s">
        <v>12</v>
      </c>
      <c r="E25" s="4">
        <v>950</v>
      </c>
      <c r="F25" s="3">
        <v>15</v>
      </c>
    </row>
    <row r="26" spans="1:6" x14ac:dyDescent="0.2">
      <c r="A26" s="2">
        <v>45905</v>
      </c>
      <c r="B26" s="3" t="s">
        <v>45</v>
      </c>
      <c r="C26" s="3" t="s">
        <v>6</v>
      </c>
      <c r="D26" s="3" t="s">
        <v>7</v>
      </c>
      <c r="E26" s="4">
        <v>13500</v>
      </c>
      <c r="F26" s="3">
        <v>6</v>
      </c>
    </row>
    <row r="27" spans="1:6" x14ac:dyDescent="0.2">
      <c r="A27" s="2">
        <v>45917</v>
      </c>
      <c r="B27" s="3" t="s">
        <v>46</v>
      </c>
      <c r="C27" s="3" t="s">
        <v>10</v>
      </c>
      <c r="D27" s="3" t="s">
        <v>9</v>
      </c>
      <c r="E27" s="4">
        <v>28500</v>
      </c>
      <c r="F27" s="3">
        <v>3</v>
      </c>
    </row>
    <row r="28" spans="1:6" x14ac:dyDescent="0.2">
      <c r="A28" s="2">
        <v>45928</v>
      </c>
      <c r="B28" s="3" t="s">
        <v>47</v>
      </c>
      <c r="C28" s="3" t="s">
        <v>14</v>
      </c>
      <c r="D28" s="3" t="s">
        <v>11</v>
      </c>
      <c r="E28" s="4">
        <v>5500</v>
      </c>
      <c r="F28" s="3">
        <v>8</v>
      </c>
    </row>
    <row r="29" spans="1:6" x14ac:dyDescent="0.2">
      <c r="A29" s="2">
        <v>45933</v>
      </c>
      <c r="B29" s="3" t="s">
        <v>48</v>
      </c>
      <c r="C29" s="3" t="s">
        <v>6</v>
      </c>
      <c r="D29" s="3" t="s">
        <v>12</v>
      </c>
      <c r="E29" s="4">
        <v>36500</v>
      </c>
      <c r="F29" s="3">
        <v>4</v>
      </c>
    </row>
    <row r="30" spans="1:6" x14ac:dyDescent="0.2">
      <c r="A30" s="2">
        <v>45942</v>
      </c>
      <c r="B30" s="3" t="s">
        <v>49</v>
      </c>
      <c r="C30" s="3" t="s">
        <v>10</v>
      </c>
      <c r="D30" s="3" t="s">
        <v>7</v>
      </c>
      <c r="E30" s="4">
        <v>24000</v>
      </c>
      <c r="F30" s="3">
        <v>3</v>
      </c>
    </row>
    <row r="31" spans="1:6" x14ac:dyDescent="0.2">
      <c r="A31" s="2">
        <v>45955</v>
      </c>
      <c r="B31" s="3" t="s">
        <v>50</v>
      </c>
      <c r="C31" s="3" t="s">
        <v>15</v>
      </c>
      <c r="D31" s="3" t="s">
        <v>9</v>
      </c>
      <c r="E31" s="4">
        <v>1800</v>
      </c>
      <c r="F31" s="3">
        <v>11</v>
      </c>
    </row>
    <row r="32" spans="1:6" x14ac:dyDescent="0.2">
      <c r="A32" s="2">
        <v>45963</v>
      </c>
      <c r="B32" s="3" t="s">
        <v>25</v>
      </c>
      <c r="C32" s="3" t="s">
        <v>6</v>
      </c>
      <c r="D32" s="3" t="s">
        <v>11</v>
      </c>
      <c r="E32" s="4">
        <v>125000</v>
      </c>
      <c r="F32" s="3">
        <v>2</v>
      </c>
    </row>
    <row r="33" spans="1:6" x14ac:dyDescent="0.2">
      <c r="A33" s="2">
        <v>45972</v>
      </c>
      <c r="B33" s="3" t="s">
        <v>51</v>
      </c>
      <c r="C33" s="3" t="s">
        <v>10</v>
      </c>
      <c r="D33" s="3" t="s">
        <v>12</v>
      </c>
      <c r="E33" s="4">
        <v>16500</v>
      </c>
      <c r="F33" s="3">
        <v>4</v>
      </c>
    </row>
    <row r="34" spans="1:6" x14ac:dyDescent="0.2">
      <c r="A34" s="2">
        <v>45980</v>
      </c>
      <c r="B34" s="3" t="s">
        <v>17</v>
      </c>
      <c r="C34" s="3" t="s">
        <v>14</v>
      </c>
      <c r="D34" s="3" t="s">
        <v>7</v>
      </c>
      <c r="E34" s="4">
        <v>4000</v>
      </c>
      <c r="F34" s="3">
        <v>9</v>
      </c>
    </row>
    <row r="35" spans="1:6" x14ac:dyDescent="0.2">
      <c r="A35" s="2">
        <v>45992</v>
      </c>
      <c r="B35" s="3" t="s">
        <v>52</v>
      </c>
      <c r="C35" s="3" t="s">
        <v>6</v>
      </c>
      <c r="D35" s="3" t="s">
        <v>9</v>
      </c>
      <c r="E35" s="4">
        <v>22000</v>
      </c>
      <c r="F35" s="3">
        <v>5</v>
      </c>
    </row>
    <row r="36" spans="1:6" x14ac:dyDescent="0.2">
      <c r="A36" s="2">
        <v>45999</v>
      </c>
      <c r="B36" s="3" t="s">
        <v>53</v>
      </c>
      <c r="C36" s="3" t="s">
        <v>10</v>
      </c>
      <c r="D36" s="3" t="s">
        <v>11</v>
      </c>
      <c r="E36" s="4">
        <v>9500</v>
      </c>
      <c r="F36" s="3">
        <v>6</v>
      </c>
    </row>
    <row r="37" spans="1:6" x14ac:dyDescent="0.2">
      <c r="A37" s="2">
        <v>46006</v>
      </c>
      <c r="B37" s="3" t="s">
        <v>54</v>
      </c>
      <c r="C37" s="3" t="s">
        <v>15</v>
      </c>
      <c r="D37" s="3" t="s">
        <v>12</v>
      </c>
      <c r="E37" s="4">
        <v>220</v>
      </c>
      <c r="F37" s="3">
        <v>25</v>
      </c>
    </row>
    <row r="38" spans="1:6" x14ac:dyDescent="0.2">
      <c r="A38" s="2">
        <v>45685</v>
      </c>
      <c r="B38" s="3" t="s">
        <v>16</v>
      </c>
      <c r="C38" s="3" t="s">
        <v>6</v>
      </c>
      <c r="D38" s="3" t="s">
        <v>7</v>
      </c>
      <c r="E38" s="4">
        <v>45000</v>
      </c>
      <c r="F38" s="3">
        <v>3</v>
      </c>
    </row>
    <row r="39" spans="1:6" x14ac:dyDescent="0.2">
      <c r="A39" s="2">
        <v>45706</v>
      </c>
      <c r="B39" s="3" t="s">
        <v>55</v>
      </c>
      <c r="C39" s="3" t="s">
        <v>10</v>
      </c>
      <c r="D39" s="3" t="s">
        <v>9</v>
      </c>
      <c r="E39" s="4">
        <v>12500</v>
      </c>
      <c r="F39" s="3">
        <v>4</v>
      </c>
    </row>
    <row r="40" spans="1:6" x14ac:dyDescent="0.2">
      <c r="A40" s="2">
        <v>45746</v>
      </c>
      <c r="B40" s="3" t="s">
        <v>21</v>
      </c>
      <c r="C40" s="3" t="s">
        <v>14</v>
      </c>
      <c r="D40" s="3" t="s">
        <v>11</v>
      </c>
      <c r="E40" s="4">
        <v>3200</v>
      </c>
      <c r="F40" s="3">
        <v>7</v>
      </c>
    </row>
    <row r="41" spans="1:6" x14ac:dyDescent="0.2">
      <c r="A41" s="2">
        <v>45769</v>
      </c>
      <c r="B41" s="3" t="s">
        <v>56</v>
      </c>
      <c r="C41" s="3" t="s">
        <v>15</v>
      </c>
      <c r="D41" s="3" t="s">
        <v>12</v>
      </c>
      <c r="E41" s="4">
        <v>420</v>
      </c>
      <c r="F41" s="3">
        <v>20</v>
      </c>
    </row>
    <row r="42" spans="1:6" x14ac:dyDescent="0.2">
      <c r="A42" s="2">
        <v>45807</v>
      </c>
      <c r="B42" s="3" t="s">
        <v>57</v>
      </c>
      <c r="C42" s="3" t="s">
        <v>6</v>
      </c>
      <c r="D42" s="3" t="s">
        <v>7</v>
      </c>
      <c r="E42" s="4">
        <v>4500</v>
      </c>
      <c r="F42" s="3">
        <v>10</v>
      </c>
    </row>
    <row r="43" spans="1:6" x14ac:dyDescent="0.2">
      <c r="A43" s="2">
        <v>45826</v>
      </c>
      <c r="B43" s="3" t="s">
        <v>24</v>
      </c>
      <c r="C43" s="3" t="s">
        <v>10</v>
      </c>
      <c r="D43" s="3" t="s">
        <v>9</v>
      </c>
      <c r="E43" s="4">
        <v>18500</v>
      </c>
      <c r="F43" s="3">
        <v>3</v>
      </c>
    </row>
    <row r="44" spans="1:6" x14ac:dyDescent="0.2">
      <c r="A44" s="2">
        <v>45858</v>
      </c>
      <c r="B44" s="3" t="s">
        <v>58</v>
      </c>
      <c r="C44" s="3" t="s">
        <v>14</v>
      </c>
      <c r="D44" s="3" t="s">
        <v>11</v>
      </c>
      <c r="E44" s="4">
        <v>6000</v>
      </c>
      <c r="F44" s="3">
        <v>5</v>
      </c>
    </row>
    <row r="45" spans="1:6" x14ac:dyDescent="0.2">
      <c r="A45" s="2">
        <v>45898</v>
      </c>
      <c r="B45" s="3" t="s">
        <v>59</v>
      </c>
      <c r="C45" s="3" t="s">
        <v>15</v>
      </c>
      <c r="D45" s="3" t="s">
        <v>12</v>
      </c>
      <c r="E45" s="4">
        <v>680</v>
      </c>
      <c r="F45" s="3">
        <v>14</v>
      </c>
    </row>
    <row r="46" spans="1:6" x14ac:dyDescent="0.2">
      <c r="A46" s="2">
        <v>45909</v>
      </c>
      <c r="B46" s="3" t="s">
        <v>20</v>
      </c>
      <c r="C46" s="3" t="s">
        <v>6</v>
      </c>
      <c r="D46" s="3" t="s">
        <v>7</v>
      </c>
      <c r="E46" s="4">
        <v>165000</v>
      </c>
      <c r="F46" s="3">
        <v>1</v>
      </c>
    </row>
    <row r="47" spans="1:6" x14ac:dyDescent="0.2">
      <c r="A47" s="2">
        <v>45948</v>
      </c>
      <c r="B47" s="3" t="s">
        <v>60</v>
      </c>
      <c r="C47" s="3" t="s">
        <v>10</v>
      </c>
      <c r="D47" s="3" t="s">
        <v>9</v>
      </c>
      <c r="E47" s="4">
        <v>27000</v>
      </c>
      <c r="F47" s="3">
        <v>2</v>
      </c>
    </row>
    <row r="48" spans="1:6" x14ac:dyDescent="0.2">
      <c r="A48" s="2">
        <v>45986</v>
      </c>
      <c r="B48" s="3" t="s">
        <v>18</v>
      </c>
      <c r="C48" s="3" t="s">
        <v>14</v>
      </c>
      <c r="D48" s="3" t="s">
        <v>11</v>
      </c>
      <c r="E48" s="4">
        <v>8500</v>
      </c>
      <c r="F48" s="3">
        <v>4</v>
      </c>
    </row>
    <row r="49" spans="1:6" x14ac:dyDescent="0.2">
      <c r="A49" s="2">
        <v>46011</v>
      </c>
      <c r="B49" s="3" t="s">
        <v>61</v>
      </c>
      <c r="C49" s="3" t="s">
        <v>15</v>
      </c>
      <c r="D49" s="3" t="s">
        <v>12</v>
      </c>
      <c r="E49" s="4">
        <v>1200</v>
      </c>
      <c r="F49" s="3">
        <v>18</v>
      </c>
    </row>
    <row r="50" spans="1:6" x14ac:dyDescent="0.2">
      <c r="A50" s="2">
        <v>45837</v>
      </c>
      <c r="B50" s="3" t="s">
        <v>62</v>
      </c>
      <c r="C50" s="3" t="s">
        <v>6</v>
      </c>
      <c r="D50" s="3" t="s">
        <v>7</v>
      </c>
      <c r="E50" s="4">
        <v>55000</v>
      </c>
      <c r="F50" s="3">
        <v>3</v>
      </c>
    </row>
    <row r="51" spans="1:6" x14ac:dyDescent="0.2">
      <c r="A51" s="2">
        <v>45921</v>
      </c>
      <c r="B51" s="3" t="s">
        <v>63</v>
      </c>
      <c r="C51" s="3" t="s">
        <v>10</v>
      </c>
      <c r="D51" s="3" t="s">
        <v>9</v>
      </c>
      <c r="E51" s="4">
        <v>7500</v>
      </c>
      <c r="F51" s="3">
        <v>6</v>
      </c>
    </row>
  </sheetData>
  <dataValidations count="1">
    <dataValidation type="list" allowBlank="1" showInputMessage="1" showErrorMessage="1" sqref="H2">
      <formula1>$A$2:$A$51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="90" zoomScaleNormal="90" workbookViewId="0">
      <selection activeCell="B8" sqref="B8"/>
    </sheetView>
  </sheetViews>
  <sheetFormatPr defaultRowHeight="14.25" x14ac:dyDescent="0.2"/>
  <cols>
    <col min="2" max="2" width="17.75" customWidth="1"/>
    <col min="3" max="3" width="10.75" customWidth="1"/>
    <col min="4" max="4" width="9.125" customWidth="1"/>
    <col min="5" max="5" width="16.375" customWidth="1"/>
    <col min="6" max="6" width="10.125" customWidth="1"/>
  </cols>
  <sheetData>
    <row r="1" spans="1:6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</row>
    <row r="2" spans="1:6" x14ac:dyDescent="0.2">
      <c r="A2" s="2">
        <v>45662</v>
      </c>
      <c r="B2" s="3" t="s">
        <v>5</v>
      </c>
      <c r="C2" s="3" t="s">
        <v>6</v>
      </c>
      <c r="D2" s="3" t="s">
        <v>7</v>
      </c>
      <c r="E2" s="4">
        <v>185000</v>
      </c>
      <c r="F2" s="3">
        <v>2</v>
      </c>
    </row>
    <row r="3" spans="1:6" x14ac:dyDescent="0.2">
      <c r="A3" s="2">
        <v>45669</v>
      </c>
      <c r="B3" s="3" t="s">
        <v>22</v>
      </c>
      <c r="C3" s="3" t="s">
        <v>10</v>
      </c>
      <c r="D3" s="3" t="s">
        <v>9</v>
      </c>
      <c r="E3" s="4">
        <v>18500</v>
      </c>
      <c r="F3" s="3">
        <v>4</v>
      </c>
    </row>
    <row r="4" spans="1:6" x14ac:dyDescent="0.2">
      <c r="A4" s="2">
        <v>45677</v>
      </c>
      <c r="B4" s="3" t="s">
        <v>27</v>
      </c>
      <c r="C4" s="3" t="s">
        <v>14</v>
      </c>
      <c r="D4" s="3" t="s">
        <v>11</v>
      </c>
      <c r="E4" s="4">
        <v>6500</v>
      </c>
      <c r="F4" s="3">
        <v>6</v>
      </c>
    </row>
    <row r="5" spans="1:6" x14ac:dyDescent="0.2">
      <c r="A5" s="2">
        <v>45690</v>
      </c>
      <c r="B5" s="3" t="s">
        <v>28</v>
      </c>
      <c r="C5" s="3" t="s">
        <v>6</v>
      </c>
      <c r="D5" s="3" t="s">
        <v>12</v>
      </c>
      <c r="E5" s="4">
        <v>98000</v>
      </c>
      <c r="F5" s="3">
        <v>3</v>
      </c>
    </row>
    <row r="6" spans="1:6" x14ac:dyDescent="0.2">
      <c r="A6" s="2">
        <v>45702</v>
      </c>
      <c r="B6" s="3" t="s">
        <v>29</v>
      </c>
      <c r="C6" s="3" t="s">
        <v>10</v>
      </c>
      <c r="D6" s="3" t="s">
        <v>7</v>
      </c>
      <c r="E6" s="4">
        <v>75000</v>
      </c>
      <c r="F6" s="3">
        <v>1</v>
      </c>
    </row>
    <row r="7" spans="1:6" x14ac:dyDescent="0.2">
      <c r="A7" s="2">
        <v>45713</v>
      </c>
      <c r="B7" s="3" t="s">
        <v>30</v>
      </c>
      <c r="C7" s="3" t="s">
        <v>15</v>
      </c>
      <c r="D7" s="3" t="s">
        <v>9</v>
      </c>
      <c r="E7" s="4">
        <v>4200</v>
      </c>
      <c r="F7" s="3">
        <v>8</v>
      </c>
    </row>
    <row r="8" spans="1:6" x14ac:dyDescent="0.2">
      <c r="A8" s="2">
        <v>45719</v>
      </c>
      <c r="B8" s="3" t="s">
        <v>13</v>
      </c>
      <c r="C8" s="3" t="s">
        <v>6</v>
      </c>
      <c r="D8" s="3" t="s">
        <v>11</v>
      </c>
      <c r="E8" s="4">
        <v>72000</v>
      </c>
      <c r="F8" s="3">
        <v>5</v>
      </c>
    </row>
    <row r="9" spans="1:6" x14ac:dyDescent="0.2">
      <c r="A9" s="2">
        <v>45731</v>
      </c>
      <c r="B9" s="3" t="s">
        <v>31</v>
      </c>
      <c r="C9" s="3" t="s">
        <v>10</v>
      </c>
      <c r="D9" s="3" t="s">
        <v>12</v>
      </c>
      <c r="E9" s="4">
        <v>135000</v>
      </c>
      <c r="F9" s="3">
        <v>1</v>
      </c>
    </row>
    <row r="10" spans="1:6" x14ac:dyDescent="0.2">
      <c r="A10" s="2">
        <v>45738</v>
      </c>
      <c r="B10" s="3" t="s">
        <v>32</v>
      </c>
      <c r="C10" s="3" t="s">
        <v>14</v>
      </c>
      <c r="D10" s="3" t="s">
        <v>7</v>
      </c>
      <c r="E10" s="4">
        <v>4500</v>
      </c>
      <c r="F10" s="3">
        <v>7</v>
      </c>
    </row>
    <row r="11" spans="1:6" x14ac:dyDescent="0.2">
      <c r="A11" s="2">
        <v>45748</v>
      </c>
      <c r="B11" s="3" t="s">
        <v>33</v>
      </c>
      <c r="C11" s="3" t="s">
        <v>6</v>
      </c>
      <c r="D11" s="3" t="s">
        <v>9</v>
      </c>
      <c r="E11" s="4">
        <v>165000</v>
      </c>
      <c r="F11" s="3">
        <v>2</v>
      </c>
    </row>
    <row r="12" spans="1:6" x14ac:dyDescent="0.2">
      <c r="A12" s="2">
        <v>45757</v>
      </c>
      <c r="B12" s="3" t="s">
        <v>34</v>
      </c>
      <c r="C12" s="3" t="s">
        <v>10</v>
      </c>
      <c r="D12" s="3" t="s">
        <v>11</v>
      </c>
      <c r="E12" s="4">
        <v>22000</v>
      </c>
      <c r="F12" s="3">
        <v>3</v>
      </c>
    </row>
    <row r="13" spans="1:6" x14ac:dyDescent="0.2">
      <c r="A13" s="2">
        <v>45765</v>
      </c>
      <c r="B13" s="3" t="s">
        <v>35</v>
      </c>
      <c r="C13" s="3" t="s">
        <v>15</v>
      </c>
      <c r="D13" s="3" t="s">
        <v>12</v>
      </c>
      <c r="E13" s="4">
        <v>3100</v>
      </c>
      <c r="F13" s="3">
        <v>10</v>
      </c>
    </row>
    <row r="14" spans="1:6" x14ac:dyDescent="0.2">
      <c r="A14" s="2">
        <v>45782</v>
      </c>
      <c r="B14" s="3" t="s">
        <v>8</v>
      </c>
      <c r="C14" s="3" t="s">
        <v>6</v>
      </c>
      <c r="D14" s="3" t="s">
        <v>7</v>
      </c>
      <c r="E14" s="4">
        <v>8500</v>
      </c>
      <c r="F14" s="3">
        <v>6</v>
      </c>
    </row>
    <row r="15" spans="1:6" x14ac:dyDescent="0.2">
      <c r="A15" s="2">
        <v>45791</v>
      </c>
      <c r="B15" s="3" t="s">
        <v>36</v>
      </c>
      <c r="C15" s="3" t="s">
        <v>10</v>
      </c>
      <c r="D15" s="3" t="s">
        <v>9</v>
      </c>
      <c r="E15" s="4">
        <v>120000</v>
      </c>
      <c r="F15" s="3">
        <v>1</v>
      </c>
    </row>
    <row r="16" spans="1:6" x14ac:dyDescent="0.2">
      <c r="A16" s="2">
        <v>45800</v>
      </c>
      <c r="B16" s="3" t="s">
        <v>37</v>
      </c>
      <c r="C16" s="3" t="s">
        <v>14</v>
      </c>
      <c r="D16" s="3" t="s">
        <v>11</v>
      </c>
      <c r="E16" s="4">
        <v>7500</v>
      </c>
      <c r="F16" s="3">
        <v>5</v>
      </c>
    </row>
    <row r="17" spans="1:6" x14ac:dyDescent="0.2">
      <c r="A17" s="2">
        <v>45810</v>
      </c>
      <c r="B17" s="3" t="s">
        <v>38</v>
      </c>
      <c r="C17" s="3" t="s">
        <v>6</v>
      </c>
      <c r="D17" s="3" t="s">
        <v>12</v>
      </c>
      <c r="E17" s="4">
        <v>155000</v>
      </c>
      <c r="F17" s="3">
        <v>2</v>
      </c>
    </row>
    <row r="18" spans="1:6" x14ac:dyDescent="0.2">
      <c r="A18" s="2">
        <v>45820</v>
      </c>
      <c r="B18" s="3" t="s">
        <v>23</v>
      </c>
      <c r="C18" s="3" t="s">
        <v>10</v>
      </c>
      <c r="D18" s="3" t="s">
        <v>7</v>
      </c>
      <c r="E18" s="4">
        <v>68000</v>
      </c>
      <c r="F18" s="3">
        <v>2</v>
      </c>
    </row>
    <row r="19" spans="1:6" x14ac:dyDescent="0.2">
      <c r="A19" s="2">
        <v>45833</v>
      </c>
      <c r="B19" s="3" t="s">
        <v>39</v>
      </c>
      <c r="C19" s="3" t="s">
        <v>15</v>
      </c>
      <c r="D19" s="3" t="s">
        <v>9</v>
      </c>
      <c r="E19" s="4">
        <v>2800</v>
      </c>
      <c r="F19" s="3">
        <v>9</v>
      </c>
    </row>
    <row r="20" spans="1:6" x14ac:dyDescent="0.2">
      <c r="A20" s="2">
        <v>45842</v>
      </c>
      <c r="B20" s="3" t="s">
        <v>19</v>
      </c>
      <c r="C20" s="3" t="s">
        <v>6</v>
      </c>
      <c r="D20" s="3" t="s">
        <v>11</v>
      </c>
      <c r="E20" s="4">
        <v>48000</v>
      </c>
      <c r="F20" s="3">
        <v>4</v>
      </c>
    </row>
    <row r="21" spans="1:6" x14ac:dyDescent="0.2">
      <c r="A21" s="2">
        <v>45853</v>
      </c>
      <c r="B21" s="3" t="s">
        <v>40</v>
      </c>
      <c r="C21" s="3" t="s">
        <v>10</v>
      </c>
      <c r="D21" s="3" t="s">
        <v>12</v>
      </c>
      <c r="E21" s="4">
        <v>34000</v>
      </c>
      <c r="F21" s="3">
        <v>3</v>
      </c>
    </row>
    <row r="22" spans="1:6" x14ac:dyDescent="0.2">
      <c r="A22" s="2">
        <v>45865</v>
      </c>
      <c r="B22" s="3" t="s">
        <v>41</v>
      </c>
      <c r="C22" s="3" t="s">
        <v>14</v>
      </c>
      <c r="D22" s="3" t="s">
        <v>7</v>
      </c>
      <c r="E22" s="4">
        <v>1200</v>
      </c>
      <c r="F22" s="3">
        <v>12</v>
      </c>
    </row>
    <row r="23" spans="1:6" x14ac:dyDescent="0.2">
      <c r="A23" s="2">
        <v>45872</v>
      </c>
      <c r="B23" s="3" t="s">
        <v>42</v>
      </c>
      <c r="C23" s="3" t="s">
        <v>6</v>
      </c>
      <c r="D23" s="3" t="s">
        <v>9</v>
      </c>
      <c r="E23" s="4">
        <v>142000</v>
      </c>
      <c r="F23" s="3">
        <v>2</v>
      </c>
    </row>
    <row r="24" spans="1:6" x14ac:dyDescent="0.2">
      <c r="A24" s="2">
        <v>45883</v>
      </c>
      <c r="B24" s="3" t="s">
        <v>43</v>
      </c>
      <c r="C24" s="3" t="s">
        <v>10</v>
      </c>
      <c r="D24" s="3" t="s">
        <v>11</v>
      </c>
      <c r="E24" s="4">
        <v>15000</v>
      </c>
      <c r="F24" s="3">
        <v>5</v>
      </c>
    </row>
    <row r="25" spans="1:6" x14ac:dyDescent="0.2">
      <c r="A25" s="2">
        <v>45895</v>
      </c>
      <c r="B25" s="3" t="s">
        <v>44</v>
      </c>
      <c r="C25" s="3" t="s">
        <v>15</v>
      </c>
      <c r="D25" s="3" t="s">
        <v>12</v>
      </c>
      <c r="E25" s="4">
        <v>950</v>
      </c>
      <c r="F25" s="3">
        <v>15</v>
      </c>
    </row>
    <row r="26" spans="1:6" x14ac:dyDescent="0.2">
      <c r="A26" s="2">
        <v>45905</v>
      </c>
      <c r="B26" s="3" t="s">
        <v>45</v>
      </c>
      <c r="C26" s="3" t="s">
        <v>6</v>
      </c>
      <c r="D26" s="3" t="s">
        <v>7</v>
      </c>
      <c r="E26" s="4">
        <v>13500</v>
      </c>
      <c r="F26" s="3">
        <v>6</v>
      </c>
    </row>
    <row r="27" spans="1:6" x14ac:dyDescent="0.2">
      <c r="A27" s="2">
        <v>45917</v>
      </c>
      <c r="B27" s="3" t="s">
        <v>46</v>
      </c>
      <c r="C27" s="3" t="s">
        <v>10</v>
      </c>
      <c r="D27" s="3" t="s">
        <v>9</v>
      </c>
      <c r="E27" s="4">
        <v>28500</v>
      </c>
      <c r="F27" s="3">
        <v>3</v>
      </c>
    </row>
    <row r="28" spans="1:6" x14ac:dyDescent="0.2">
      <c r="A28" s="2">
        <v>45928</v>
      </c>
      <c r="B28" s="3" t="s">
        <v>47</v>
      </c>
      <c r="C28" s="3" t="s">
        <v>14</v>
      </c>
      <c r="D28" s="3" t="s">
        <v>11</v>
      </c>
      <c r="E28" s="4">
        <v>5500</v>
      </c>
      <c r="F28" s="3">
        <v>8</v>
      </c>
    </row>
    <row r="29" spans="1:6" x14ac:dyDescent="0.2">
      <c r="A29" s="2">
        <v>45933</v>
      </c>
      <c r="B29" s="3" t="s">
        <v>48</v>
      </c>
      <c r="C29" s="3" t="s">
        <v>6</v>
      </c>
      <c r="D29" s="3" t="s">
        <v>12</v>
      </c>
      <c r="E29" s="4">
        <v>36500</v>
      </c>
      <c r="F29" s="3">
        <v>4</v>
      </c>
    </row>
    <row r="30" spans="1:6" x14ac:dyDescent="0.2">
      <c r="A30" s="2">
        <v>45942</v>
      </c>
      <c r="B30" s="3" t="s">
        <v>49</v>
      </c>
      <c r="C30" s="3" t="s">
        <v>10</v>
      </c>
      <c r="D30" s="3" t="s">
        <v>7</v>
      </c>
      <c r="E30" s="4">
        <v>24000</v>
      </c>
      <c r="F30" s="3">
        <v>3</v>
      </c>
    </row>
    <row r="31" spans="1:6" x14ac:dyDescent="0.2">
      <c r="A31" s="2">
        <v>45955</v>
      </c>
      <c r="B31" s="3" t="s">
        <v>50</v>
      </c>
      <c r="C31" s="3" t="s">
        <v>15</v>
      </c>
      <c r="D31" s="3" t="s">
        <v>9</v>
      </c>
      <c r="E31" s="4">
        <v>1800</v>
      </c>
      <c r="F31" s="3">
        <v>11</v>
      </c>
    </row>
    <row r="32" spans="1:6" x14ac:dyDescent="0.2">
      <c r="A32" s="2">
        <v>45963</v>
      </c>
      <c r="B32" s="3" t="s">
        <v>25</v>
      </c>
      <c r="C32" s="3" t="s">
        <v>6</v>
      </c>
      <c r="D32" s="3" t="s">
        <v>11</v>
      </c>
      <c r="E32" s="4">
        <v>125000</v>
      </c>
      <c r="F32" s="3">
        <v>2</v>
      </c>
    </row>
    <row r="33" spans="1:6" x14ac:dyDescent="0.2">
      <c r="A33" s="2">
        <v>45972</v>
      </c>
      <c r="B33" s="3" t="s">
        <v>51</v>
      </c>
      <c r="C33" s="3" t="s">
        <v>10</v>
      </c>
      <c r="D33" s="3" t="s">
        <v>12</v>
      </c>
      <c r="E33" s="4">
        <v>16500</v>
      </c>
      <c r="F33" s="3">
        <v>4</v>
      </c>
    </row>
    <row r="34" spans="1:6" x14ac:dyDescent="0.2">
      <c r="A34" s="2">
        <v>45980</v>
      </c>
      <c r="B34" s="3" t="s">
        <v>17</v>
      </c>
      <c r="C34" s="3" t="s">
        <v>14</v>
      </c>
      <c r="D34" s="3" t="s">
        <v>7</v>
      </c>
      <c r="E34" s="4">
        <v>4000</v>
      </c>
      <c r="F34" s="3">
        <v>9</v>
      </c>
    </row>
    <row r="35" spans="1:6" x14ac:dyDescent="0.2">
      <c r="A35" s="2">
        <v>45992</v>
      </c>
      <c r="B35" s="3" t="s">
        <v>52</v>
      </c>
      <c r="C35" s="3" t="s">
        <v>6</v>
      </c>
      <c r="D35" s="3" t="s">
        <v>9</v>
      </c>
      <c r="E35" s="4">
        <v>22000</v>
      </c>
      <c r="F35" s="3">
        <v>5</v>
      </c>
    </row>
    <row r="36" spans="1:6" x14ac:dyDescent="0.2">
      <c r="A36" s="2">
        <v>45999</v>
      </c>
      <c r="B36" s="3" t="s">
        <v>53</v>
      </c>
      <c r="C36" s="3" t="s">
        <v>10</v>
      </c>
      <c r="D36" s="3" t="s">
        <v>11</v>
      </c>
      <c r="E36" s="4">
        <v>9500</v>
      </c>
      <c r="F36" s="3">
        <v>6</v>
      </c>
    </row>
    <row r="37" spans="1:6" x14ac:dyDescent="0.2">
      <c r="A37" s="2">
        <v>46006</v>
      </c>
      <c r="B37" s="3" t="s">
        <v>54</v>
      </c>
      <c r="C37" s="3" t="s">
        <v>15</v>
      </c>
      <c r="D37" s="3" t="s">
        <v>12</v>
      </c>
      <c r="E37" s="4">
        <v>220</v>
      </c>
      <c r="F37" s="3">
        <v>25</v>
      </c>
    </row>
    <row r="38" spans="1:6" x14ac:dyDescent="0.2">
      <c r="A38" s="2">
        <v>45685</v>
      </c>
      <c r="B38" s="3" t="s">
        <v>16</v>
      </c>
      <c r="C38" s="3" t="s">
        <v>6</v>
      </c>
      <c r="D38" s="3" t="s">
        <v>7</v>
      </c>
      <c r="E38" s="4">
        <v>45000</v>
      </c>
      <c r="F38" s="3">
        <v>3</v>
      </c>
    </row>
    <row r="39" spans="1:6" x14ac:dyDescent="0.2">
      <c r="A39" s="2">
        <v>45706</v>
      </c>
      <c r="B39" s="3" t="s">
        <v>55</v>
      </c>
      <c r="C39" s="3" t="s">
        <v>10</v>
      </c>
      <c r="D39" s="3" t="s">
        <v>9</v>
      </c>
      <c r="E39" s="4">
        <v>12500</v>
      </c>
      <c r="F39" s="3">
        <v>4</v>
      </c>
    </row>
    <row r="40" spans="1:6" x14ac:dyDescent="0.2">
      <c r="A40" s="2">
        <v>45746</v>
      </c>
      <c r="B40" s="3" t="s">
        <v>21</v>
      </c>
      <c r="C40" s="3" t="s">
        <v>14</v>
      </c>
      <c r="D40" s="3" t="s">
        <v>11</v>
      </c>
      <c r="E40" s="4">
        <v>3200</v>
      </c>
      <c r="F40" s="3">
        <v>7</v>
      </c>
    </row>
    <row r="41" spans="1:6" x14ac:dyDescent="0.2">
      <c r="A41" s="2">
        <v>45769</v>
      </c>
      <c r="B41" s="3" t="s">
        <v>56</v>
      </c>
      <c r="C41" s="3" t="s">
        <v>15</v>
      </c>
      <c r="D41" s="3" t="s">
        <v>12</v>
      </c>
      <c r="E41" s="4">
        <v>420</v>
      </c>
      <c r="F41" s="3">
        <v>20</v>
      </c>
    </row>
    <row r="42" spans="1:6" x14ac:dyDescent="0.2">
      <c r="A42" s="2">
        <v>45807</v>
      </c>
      <c r="B42" s="3" t="s">
        <v>57</v>
      </c>
      <c r="C42" s="3" t="s">
        <v>6</v>
      </c>
      <c r="D42" s="3" t="s">
        <v>7</v>
      </c>
      <c r="E42" s="4">
        <v>4500</v>
      </c>
      <c r="F42" s="3">
        <v>10</v>
      </c>
    </row>
    <row r="43" spans="1:6" x14ac:dyDescent="0.2">
      <c r="A43" s="2">
        <v>45826</v>
      </c>
      <c r="B43" s="3" t="s">
        <v>24</v>
      </c>
      <c r="C43" s="3" t="s">
        <v>10</v>
      </c>
      <c r="D43" s="3" t="s">
        <v>9</v>
      </c>
      <c r="E43" s="4">
        <v>18500</v>
      </c>
      <c r="F43" s="3">
        <v>3</v>
      </c>
    </row>
    <row r="44" spans="1:6" x14ac:dyDescent="0.2">
      <c r="A44" s="2">
        <v>45858</v>
      </c>
      <c r="B44" s="3" t="s">
        <v>58</v>
      </c>
      <c r="C44" s="3" t="s">
        <v>14</v>
      </c>
      <c r="D44" s="3" t="s">
        <v>11</v>
      </c>
      <c r="E44" s="4">
        <v>6000</v>
      </c>
      <c r="F44" s="3">
        <v>5</v>
      </c>
    </row>
    <row r="45" spans="1:6" x14ac:dyDescent="0.2">
      <c r="A45" s="2">
        <v>45898</v>
      </c>
      <c r="B45" s="3" t="s">
        <v>59</v>
      </c>
      <c r="C45" s="3" t="s">
        <v>15</v>
      </c>
      <c r="D45" s="3" t="s">
        <v>12</v>
      </c>
      <c r="E45" s="4">
        <v>680</v>
      </c>
      <c r="F45" s="3">
        <v>14</v>
      </c>
    </row>
    <row r="46" spans="1:6" x14ac:dyDescent="0.2">
      <c r="A46" s="2">
        <v>45909</v>
      </c>
      <c r="B46" s="3" t="s">
        <v>20</v>
      </c>
      <c r="C46" s="3" t="s">
        <v>6</v>
      </c>
      <c r="D46" s="3" t="s">
        <v>7</v>
      </c>
      <c r="E46" s="4">
        <v>165000</v>
      </c>
      <c r="F46" s="3">
        <v>1</v>
      </c>
    </row>
    <row r="47" spans="1:6" x14ac:dyDescent="0.2">
      <c r="A47" s="2">
        <v>45948</v>
      </c>
      <c r="B47" s="3" t="s">
        <v>60</v>
      </c>
      <c r="C47" s="3" t="s">
        <v>10</v>
      </c>
      <c r="D47" s="3" t="s">
        <v>9</v>
      </c>
      <c r="E47" s="4">
        <v>27000</v>
      </c>
      <c r="F47" s="3">
        <v>2</v>
      </c>
    </row>
    <row r="48" spans="1:6" x14ac:dyDescent="0.2">
      <c r="A48" s="2">
        <v>45986</v>
      </c>
      <c r="B48" s="3" t="s">
        <v>18</v>
      </c>
      <c r="C48" s="3" t="s">
        <v>14</v>
      </c>
      <c r="D48" s="3" t="s">
        <v>11</v>
      </c>
      <c r="E48" s="4">
        <v>8500</v>
      </c>
      <c r="F48" s="3">
        <v>4</v>
      </c>
    </row>
    <row r="49" spans="1:6" x14ac:dyDescent="0.2">
      <c r="A49" s="2">
        <v>46011</v>
      </c>
      <c r="B49" s="3" t="s">
        <v>61</v>
      </c>
      <c r="C49" s="3" t="s">
        <v>15</v>
      </c>
      <c r="D49" s="3" t="s">
        <v>12</v>
      </c>
      <c r="E49" s="4">
        <v>1200</v>
      </c>
      <c r="F49" s="3">
        <v>18</v>
      </c>
    </row>
    <row r="50" spans="1:6" x14ac:dyDescent="0.2">
      <c r="A50" s="2">
        <v>45837</v>
      </c>
      <c r="B50" s="3" t="s">
        <v>62</v>
      </c>
      <c r="C50" s="3" t="s">
        <v>6</v>
      </c>
      <c r="D50" s="3" t="s">
        <v>7</v>
      </c>
      <c r="E50" s="4">
        <v>55000</v>
      </c>
      <c r="F50" s="3">
        <v>3</v>
      </c>
    </row>
    <row r="51" spans="1:6" x14ac:dyDescent="0.2">
      <c r="A51" s="2">
        <v>45921</v>
      </c>
      <c r="B51" s="3" t="s">
        <v>63</v>
      </c>
      <c r="C51" s="3" t="s">
        <v>10</v>
      </c>
      <c r="D51" s="3" t="s">
        <v>9</v>
      </c>
      <c r="E51" s="4">
        <v>7500</v>
      </c>
      <c r="F51" s="3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H6" sqref="H6"/>
    </sheetView>
  </sheetViews>
  <sheetFormatPr defaultRowHeight="14.25" x14ac:dyDescent="0.2"/>
  <cols>
    <col min="1" max="1" width="18.125" customWidth="1"/>
    <col min="2" max="2" width="16.125" customWidth="1"/>
    <col min="3" max="3" width="10.875" customWidth="1"/>
    <col min="4" max="4" width="9.125" customWidth="1"/>
    <col min="5" max="5" width="9.75" customWidth="1"/>
    <col min="6" max="6" width="11.375" customWidth="1"/>
    <col min="7" max="7" width="15" customWidth="1"/>
    <col min="8" max="8" width="18.125" customWidth="1"/>
    <col min="9" max="9" width="15" customWidth="1"/>
    <col min="10" max="10" width="23.25" bestFit="1" customWidth="1"/>
    <col min="11" max="11" width="20.125" customWidth="1"/>
    <col min="12" max="12" width="6.125" customWidth="1"/>
    <col min="13" max="13" width="5.25" customWidth="1"/>
    <col min="14" max="14" width="14.25" bestFit="1" customWidth="1"/>
    <col min="15" max="15" width="11.5" bestFit="1" customWidth="1"/>
    <col min="16" max="16" width="5.25" customWidth="1"/>
    <col min="17" max="17" width="14.875" bestFit="1" customWidth="1"/>
    <col min="18" max="18" width="11.375" bestFit="1" customWidth="1"/>
  </cols>
  <sheetData>
    <row r="1" spans="1:6" ht="15" thickBot="1" x14ac:dyDescent="0.25"/>
    <row r="2" spans="1:6" x14ac:dyDescent="0.2">
      <c r="A2" s="33" t="s">
        <v>132</v>
      </c>
      <c r="B2" s="34"/>
      <c r="C2" s="34"/>
      <c r="D2" s="34"/>
      <c r="E2" s="34"/>
      <c r="F2" s="35"/>
    </row>
    <row r="3" spans="1:6" ht="15" thickBot="1" x14ac:dyDescent="0.25">
      <c r="A3" s="36"/>
      <c r="B3" s="37"/>
      <c r="C3" s="37"/>
      <c r="D3" s="37"/>
      <c r="E3" s="37"/>
      <c r="F3" s="38"/>
    </row>
    <row r="6" spans="1:6" x14ac:dyDescent="0.2">
      <c r="A6" s="8" t="s">
        <v>134</v>
      </c>
      <c r="B6" s="8" t="s">
        <v>136</v>
      </c>
    </row>
    <row r="7" spans="1:6" x14ac:dyDescent="0.2">
      <c r="A7" s="8" t="s">
        <v>133</v>
      </c>
      <c r="B7" t="s">
        <v>14</v>
      </c>
      <c r="C7" t="s">
        <v>6</v>
      </c>
      <c r="D7" t="s">
        <v>10</v>
      </c>
      <c r="E7" t="s">
        <v>15</v>
      </c>
      <c r="F7" t="s">
        <v>135</v>
      </c>
    </row>
    <row r="8" spans="1:6" x14ac:dyDescent="0.2">
      <c r="A8" s="9" t="s">
        <v>58</v>
      </c>
      <c r="B8" s="10">
        <v>6000</v>
      </c>
      <c r="C8" s="10"/>
      <c r="D8" s="10"/>
      <c r="E8" s="10"/>
      <c r="F8" s="10">
        <v>6000</v>
      </c>
    </row>
    <row r="9" spans="1:6" x14ac:dyDescent="0.2">
      <c r="A9" s="9" t="s">
        <v>33</v>
      </c>
      <c r="B9" s="10"/>
      <c r="C9" s="10">
        <v>165000</v>
      </c>
      <c r="D9" s="10"/>
      <c r="E9" s="10"/>
      <c r="F9" s="10">
        <v>165000</v>
      </c>
    </row>
    <row r="10" spans="1:6" x14ac:dyDescent="0.2">
      <c r="A10" s="9" t="s">
        <v>31</v>
      </c>
      <c r="B10" s="10"/>
      <c r="C10" s="10"/>
      <c r="D10" s="10">
        <v>135000</v>
      </c>
      <c r="E10" s="10"/>
      <c r="F10" s="10">
        <v>135000</v>
      </c>
    </row>
    <row r="11" spans="1:6" x14ac:dyDescent="0.2">
      <c r="A11" s="9" t="s">
        <v>63</v>
      </c>
      <c r="B11" s="10"/>
      <c r="C11" s="10"/>
      <c r="D11" s="10">
        <v>7500</v>
      </c>
      <c r="E11" s="10"/>
      <c r="F11" s="10">
        <v>7500</v>
      </c>
    </row>
    <row r="12" spans="1:6" x14ac:dyDescent="0.2">
      <c r="A12" s="9" t="s">
        <v>45</v>
      </c>
      <c r="B12" s="10"/>
      <c r="C12" s="10">
        <v>13500</v>
      </c>
      <c r="D12" s="10"/>
      <c r="E12" s="10"/>
      <c r="F12" s="10">
        <v>13500</v>
      </c>
    </row>
    <row r="13" spans="1:6" x14ac:dyDescent="0.2">
      <c r="A13" s="9" t="s">
        <v>43</v>
      </c>
      <c r="B13" s="10"/>
      <c r="C13" s="10"/>
      <c r="D13" s="10">
        <v>15000</v>
      </c>
      <c r="E13" s="10"/>
      <c r="F13" s="10">
        <v>15000</v>
      </c>
    </row>
    <row r="14" spans="1:6" x14ac:dyDescent="0.2">
      <c r="A14" s="9" t="s">
        <v>61</v>
      </c>
      <c r="B14" s="10"/>
      <c r="C14" s="10"/>
      <c r="D14" s="10"/>
      <c r="E14" s="10">
        <v>1200</v>
      </c>
      <c r="F14" s="10">
        <v>1200</v>
      </c>
    </row>
    <row r="15" spans="1:6" x14ac:dyDescent="0.2">
      <c r="A15" s="9" t="s">
        <v>20</v>
      </c>
      <c r="B15" s="10"/>
      <c r="C15" s="10">
        <v>165000</v>
      </c>
      <c r="D15" s="10"/>
      <c r="E15" s="10"/>
      <c r="F15" s="10">
        <v>165000</v>
      </c>
    </row>
    <row r="16" spans="1:6" x14ac:dyDescent="0.2">
      <c r="A16" s="9" t="s">
        <v>51</v>
      </c>
      <c r="B16" s="10"/>
      <c r="C16" s="10"/>
      <c r="D16" s="10">
        <v>16500</v>
      </c>
      <c r="E16" s="10"/>
      <c r="F16" s="10">
        <v>16500</v>
      </c>
    </row>
    <row r="17" spans="1:6" x14ac:dyDescent="0.2">
      <c r="A17" s="9" t="s">
        <v>60</v>
      </c>
      <c r="B17" s="10"/>
      <c r="C17" s="10"/>
      <c r="D17" s="10">
        <v>27000</v>
      </c>
      <c r="E17" s="10"/>
      <c r="F17" s="10">
        <v>27000</v>
      </c>
    </row>
    <row r="18" spans="1:6" x14ac:dyDescent="0.2">
      <c r="A18" s="9" t="s">
        <v>39</v>
      </c>
      <c r="B18" s="10"/>
      <c r="C18" s="10"/>
      <c r="D18" s="10"/>
      <c r="E18" s="10">
        <v>2800</v>
      </c>
      <c r="F18" s="10">
        <v>2800</v>
      </c>
    </row>
    <row r="19" spans="1:6" x14ac:dyDescent="0.2">
      <c r="A19" s="9" t="s">
        <v>55</v>
      </c>
      <c r="B19" s="10"/>
      <c r="C19" s="10"/>
      <c r="D19" s="10">
        <v>12500</v>
      </c>
      <c r="E19" s="10"/>
      <c r="F19" s="10">
        <v>12500</v>
      </c>
    </row>
    <row r="20" spans="1:6" x14ac:dyDescent="0.2">
      <c r="A20" s="9" t="s">
        <v>29</v>
      </c>
      <c r="B20" s="10"/>
      <c r="C20" s="10"/>
      <c r="D20" s="10">
        <v>75000</v>
      </c>
      <c r="E20" s="10"/>
      <c r="F20" s="10">
        <v>75000</v>
      </c>
    </row>
    <row r="21" spans="1:6" x14ac:dyDescent="0.2">
      <c r="A21" s="9" t="s">
        <v>46</v>
      </c>
      <c r="B21" s="10"/>
      <c r="C21" s="10"/>
      <c r="D21" s="10">
        <v>28500</v>
      </c>
      <c r="E21" s="10"/>
      <c r="F21" s="10">
        <v>28500</v>
      </c>
    </row>
    <row r="22" spans="1:6" x14ac:dyDescent="0.2">
      <c r="A22" s="9" t="s">
        <v>56</v>
      </c>
      <c r="B22" s="10"/>
      <c r="C22" s="10"/>
      <c r="D22" s="10"/>
      <c r="E22" s="10">
        <v>420</v>
      </c>
      <c r="F22" s="10">
        <v>420</v>
      </c>
    </row>
    <row r="23" spans="1:6" x14ac:dyDescent="0.2">
      <c r="A23" s="9" t="s">
        <v>35</v>
      </c>
      <c r="B23" s="10"/>
      <c r="C23" s="10"/>
      <c r="D23" s="10"/>
      <c r="E23" s="10">
        <v>3100</v>
      </c>
      <c r="F23" s="10">
        <v>3100</v>
      </c>
    </row>
    <row r="24" spans="1:6" x14ac:dyDescent="0.2">
      <c r="A24" s="9" t="s">
        <v>25</v>
      </c>
      <c r="B24" s="10"/>
      <c r="C24" s="10">
        <v>125000</v>
      </c>
      <c r="D24" s="10"/>
      <c r="E24" s="10"/>
      <c r="F24" s="10">
        <v>125000</v>
      </c>
    </row>
    <row r="25" spans="1:6" x14ac:dyDescent="0.2">
      <c r="A25" s="9" t="s">
        <v>8</v>
      </c>
      <c r="B25" s="10"/>
      <c r="C25" s="10">
        <v>8500</v>
      </c>
      <c r="D25" s="10"/>
      <c r="E25" s="10"/>
      <c r="F25" s="10">
        <v>8500</v>
      </c>
    </row>
    <row r="26" spans="1:6" x14ac:dyDescent="0.2">
      <c r="A26" s="9" t="s">
        <v>21</v>
      </c>
      <c r="B26" s="10">
        <v>3200</v>
      </c>
      <c r="C26" s="10"/>
      <c r="D26" s="10"/>
      <c r="E26" s="10"/>
      <c r="F26" s="10">
        <v>3200</v>
      </c>
    </row>
    <row r="27" spans="1:6" x14ac:dyDescent="0.2">
      <c r="A27" s="9" t="s">
        <v>18</v>
      </c>
      <c r="B27" s="10">
        <v>8500</v>
      </c>
      <c r="C27" s="10"/>
      <c r="D27" s="10"/>
      <c r="E27" s="10"/>
      <c r="F27" s="10">
        <v>8500</v>
      </c>
    </row>
    <row r="28" spans="1:6" x14ac:dyDescent="0.2">
      <c r="A28" s="9" t="s">
        <v>17</v>
      </c>
      <c r="B28" s="10">
        <v>4000</v>
      </c>
      <c r="C28" s="10"/>
      <c r="D28" s="10"/>
      <c r="E28" s="10"/>
      <c r="F28" s="10">
        <v>4000</v>
      </c>
    </row>
    <row r="29" spans="1:6" x14ac:dyDescent="0.2">
      <c r="A29" s="9" t="s">
        <v>41</v>
      </c>
      <c r="B29" s="10">
        <v>1200</v>
      </c>
      <c r="C29" s="10"/>
      <c r="D29" s="10"/>
      <c r="E29" s="10"/>
      <c r="F29" s="10">
        <v>1200</v>
      </c>
    </row>
    <row r="30" spans="1:6" x14ac:dyDescent="0.2">
      <c r="A30" s="9" t="s">
        <v>5</v>
      </c>
      <c r="B30" s="10"/>
      <c r="C30" s="10">
        <v>185000</v>
      </c>
      <c r="D30" s="10"/>
      <c r="E30" s="10"/>
      <c r="F30" s="10">
        <v>185000</v>
      </c>
    </row>
    <row r="31" spans="1:6" x14ac:dyDescent="0.2">
      <c r="A31" s="9" t="s">
        <v>28</v>
      </c>
      <c r="B31" s="10"/>
      <c r="C31" s="10">
        <v>98000</v>
      </c>
      <c r="D31" s="10"/>
      <c r="E31" s="10"/>
      <c r="F31" s="10">
        <v>98000</v>
      </c>
    </row>
    <row r="32" spans="1:6" x14ac:dyDescent="0.2">
      <c r="A32" s="9" t="s">
        <v>59</v>
      </c>
      <c r="B32" s="10"/>
      <c r="C32" s="10"/>
      <c r="D32" s="10"/>
      <c r="E32" s="10">
        <v>680</v>
      </c>
      <c r="F32" s="10">
        <v>680</v>
      </c>
    </row>
    <row r="33" spans="1:6" x14ac:dyDescent="0.2">
      <c r="A33" s="9" t="s">
        <v>49</v>
      </c>
      <c r="B33" s="10"/>
      <c r="C33" s="10"/>
      <c r="D33" s="10">
        <v>24000</v>
      </c>
      <c r="E33" s="10"/>
      <c r="F33" s="10">
        <v>24000</v>
      </c>
    </row>
    <row r="34" spans="1:6" x14ac:dyDescent="0.2">
      <c r="A34" s="9" t="s">
        <v>27</v>
      </c>
      <c r="B34" s="10">
        <v>6500</v>
      </c>
      <c r="C34" s="10"/>
      <c r="D34" s="10"/>
      <c r="E34" s="10"/>
      <c r="F34" s="10">
        <v>6500</v>
      </c>
    </row>
    <row r="35" spans="1:6" x14ac:dyDescent="0.2">
      <c r="A35" s="9" t="s">
        <v>37</v>
      </c>
      <c r="B35" s="10">
        <v>7500</v>
      </c>
      <c r="C35" s="10"/>
      <c r="D35" s="10"/>
      <c r="E35" s="10"/>
      <c r="F35" s="10">
        <v>7500</v>
      </c>
    </row>
    <row r="36" spans="1:6" x14ac:dyDescent="0.2">
      <c r="A36" s="9" t="s">
        <v>48</v>
      </c>
      <c r="B36" s="10"/>
      <c r="C36" s="10">
        <v>36500</v>
      </c>
      <c r="D36" s="10"/>
      <c r="E36" s="10"/>
      <c r="F36" s="10">
        <v>36500</v>
      </c>
    </row>
    <row r="37" spans="1:6" x14ac:dyDescent="0.2">
      <c r="A37" s="9" t="s">
        <v>54</v>
      </c>
      <c r="B37" s="10"/>
      <c r="C37" s="10"/>
      <c r="D37" s="10"/>
      <c r="E37" s="10">
        <v>220</v>
      </c>
      <c r="F37" s="10">
        <v>220</v>
      </c>
    </row>
    <row r="38" spans="1:6" x14ac:dyDescent="0.2">
      <c r="A38" s="9" t="s">
        <v>22</v>
      </c>
      <c r="B38" s="10"/>
      <c r="C38" s="10"/>
      <c r="D38" s="10">
        <v>18500</v>
      </c>
      <c r="E38" s="10"/>
      <c r="F38" s="10">
        <v>18500</v>
      </c>
    </row>
    <row r="39" spans="1:6" x14ac:dyDescent="0.2">
      <c r="A39" s="9" t="s">
        <v>40</v>
      </c>
      <c r="B39" s="10"/>
      <c r="C39" s="10"/>
      <c r="D39" s="10">
        <v>34000</v>
      </c>
      <c r="E39" s="10"/>
      <c r="F39" s="10">
        <v>34000</v>
      </c>
    </row>
    <row r="40" spans="1:6" x14ac:dyDescent="0.2">
      <c r="A40" s="9" t="s">
        <v>57</v>
      </c>
      <c r="B40" s="10"/>
      <c r="C40" s="10">
        <v>4500</v>
      </c>
      <c r="D40" s="10"/>
      <c r="E40" s="10"/>
      <c r="F40" s="10">
        <v>4500</v>
      </c>
    </row>
    <row r="41" spans="1:6" x14ac:dyDescent="0.2">
      <c r="A41" s="9" t="s">
        <v>16</v>
      </c>
      <c r="B41" s="10"/>
      <c r="C41" s="10">
        <v>45000</v>
      </c>
      <c r="D41" s="10"/>
      <c r="E41" s="10"/>
      <c r="F41" s="10">
        <v>45000</v>
      </c>
    </row>
    <row r="42" spans="1:6" x14ac:dyDescent="0.2">
      <c r="A42" s="9" t="s">
        <v>38</v>
      </c>
      <c r="B42" s="10"/>
      <c r="C42" s="10">
        <v>155000</v>
      </c>
      <c r="D42" s="10"/>
      <c r="E42" s="10"/>
      <c r="F42" s="10">
        <v>155000</v>
      </c>
    </row>
    <row r="43" spans="1:6" x14ac:dyDescent="0.2">
      <c r="A43" s="9" t="s">
        <v>30</v>
      </c>
      <c r="B43" s="10"/>
      <c r="C43" s="10"/>
      <c r="D43" s="10"/>
      <c r="E43" s="10">
        <v>4200</v>
      </c>
      <c r="F43" s="10">
        <v>4200</v>
      </c>
    </row>
    <row r="44" spans="1:6" x14ac:dyDescent="0.2">
      <c r="A44" s="9" t="s">
        <v>53</v>
      </c>
      <c r="B44" s="10"/>
      <c r="C44" s="10"/>
      <c r="D44" s="10">
        <v>9500</v>
      </c>
      <c r="E44" s="10"/>
      <c r="F44" s="10">
        <v>9500</v>
      </c>
    </row>
    <row r="45" spans="1:6" x14ac:dyDescent="0.2">
      <c r="A45" s="9" t="s">
        <v>52</v>
      </c>
      <c r="B45" s="10"/>
      <c r="C45" s="10">
        <v>22000</v>
      </c>
      <c r="D45" s="10"/>
      <c r="E45" s="10"/>
      <c r="F45" s="10">
        <v>22000</v>
      </c>
    </row>
    <row r="46" spans="1:6" x14ac:dyDescent="0.2">
      <c r="A46" s="9" t="s">
        <v>13</v>
      </c>
      <c r="B46" s="10"/>
      <c r="C46" s="10">
        <v>72000</v>
      </c>
      <c r="D46" s="10"/>
      <c r="E46" s="10"/>
      <c r="F46" s="10">
        <v>72000</v>
      </c>
    </row>
    <row r="47" spans="1:6" x14ac:dyDescent="0.2">
      <c r="A47" s="9" t="s">
        <v>36</v>
      </c>
      <c r="B47" s="10"/>
      <c r="C47" s="10"/>
      <c r="D47" s="10">
        <v>120000</v>
      </c>
      <c r="E47" s="10"/>
      <c r="F47" s="10">
        <v>120000</v>
      </c>
    </row>
    <row r="48" spans="1:6" x14ac:dyDescent="0.2">
      <c r="A48" s="9" t="s">
        <v>34</v>
      </c>
      <c r="B48" s="10"/>
      <c r="C48" s="10"/>
      <c r="D48" s="10">
        <v>22000</v>
      </c>
      <c r="E48" s="10"/>
      <c r="F48" s="10">
        <v>22000</v>
      </c>
    </row>
    <row r="49" spans="1:6" x14ac:dyDescent="0.2">
      <c r="A49" s="9" t="s">
        <v>44</v>
      </c>
      <c r="B49" s="10"/>
      <c r="C49" s="10"/>
      <c r="D49" s="10"/>
      <c r="E49" s="10">
        <v>950</v>
      </c>
      <c r="F49" s="10">
        <v>950</v>
      </c>
    </row>
    <row r="50" spans="1:6" x14ac:dyDescent="0.2">
      <c r="A50" s="9" t="s">
        <v>19</v>
      </c>
      <c r="B50" s="10"/>
      <c r="C50" s="10">
        <v>48000</v>
      </c>
      <c r="D50" s="10"/>
      <c r="E50" s="10"/>
      <c r="F50" s="10">
        <v>48000</v>
      </c>
    </row>
    <row r="51" spans="1:6" x14ac:dyDescent="0.2">
      <c r="A51" s="9" t="s">
        <v>50</v>
      </c>
      <c r="B51" s="10"/>
      <c r="C51" s="10"/>
      <c r="D51" s="10"/>
      <c r="E51" s="10">
        <v>1800</v>
      </c>
      <c r="F51" s="10">
        <v>1800</v>
      </c>
    </row>
    <row r="52" spans="1:6" x14ac:dyDescent="0.2">
      <c r="A52" s="9" t="s">
        <v>24</v>
      </c>
      <c r="B52" s="10"/>
      <c r="C52" s="10"/>
      <c r="D52" s="10">
        <v>18500</v>
      </c>
      <c r="E52" s="10"/>
      <c r="F52" s="10">
        <v>18500</v>
      </c>
    </row>
    <row r="53" spans="1:6" x14ac:dyDescent="0.2">
      <c r="A53" s="9" t="s">
        <v>62</v>
      </c>
      <c r="B53" s="10"/>
      <c r="C53" s="10">
        <v>55000</v>
      </c>
      <c r="D53" s="10"/>
      <c r="E53" s="10"/>
      <c r="F53" s="10">
        <v>55000</v>
      </c>
    </row>
    <row r="54" spans="1:6" x14ac:dyDescent="0.2">
      <c r="A54" s="9" t="s">
        <v>23</v>
      </c>
      <c r="B54" s="10"/>
      <c r="C54" s="10"/>
      <c r="D54" s="10">
        <v>68000</v>
      </c>
      <c r="E54" s="10"/>
      <c r="F54" s="10">
        <v>68000</v>
      </c>
    </row>
    <row r="55" spans="1:6" x14ac:dyDescent="0.2">
      <c r="A55" s="9" t="s">
        <v>42</v>
      </c>
      <c r="B55" s="10"/>
      <c r="C55" s="10">
        <v>142000</v>
      </c>
      <c r="D55" s="10"/>
      <c r="E55" s="10"/>
      <c r="F55" s="10">
        <v>142000</v>
      </c>
    </row>
    <row r="56" spans="1:6" x14ac:dyDescent="0.2">
      <c r="A56" s="9" t="s">
        <v>47</v>
      </c>
      <c r="B56" s="10">
        <v>5500</v>
      </c>
      <c r="C56" s="10"/>
      <c r="D56" s="10"/>
      <c r="E56" s="10"/>
      <c r="F56" s="10">
        <v>5500</v>
      </c>
    </row>
    <row r="57" spans="1:6" x14ac:dyDescent="0.2">
      <c r="A57" s="9" t="s">
        <v>32</v>
      </c>
      <c r="B57" s="10">
        <v>4500</v>
      </c>
      <c r="C57" s="10"/>
      <c r="D57" s="10"/>
      <c r="E57" s="10"/>
      <c r="F57" s="10">
        <v>4500</v>
      </c>
    </row>
    <row r="58" spans="1:6" x14ac:dyDescent="0.2">
      <c r="A58" s="9" t="s">
        <v>135</v>
      </c>
      <c r="B58" s="10">
        <v>46900</v>
      </c>
      <c r="C58" s="10">
        <v>1340000</v>
      </c>
      <c r="D58" s="10">
        <v>631500</v>
      </c>
      <c r="E58" s="10">
        <v>15370</v>
      </c>
      <c r="F58" s="10">
        <v>2033770</v>
      </c>
    </row>
  </sheetData>
  <mergeCells count="1">
    <mergeCell ref="A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3"/>
  <sheetViews>
    <sheetView topLeftCell="A2" workbookViewId="0">
      <selection activeCell="J29" sqref="J29"/>
    </sheetView>
  </sheetViews>
  <sheetFormatPr defaultRowHeight="14.25" x14ac:dyDescent="0.2"/>
  <cols>
    <col min="1" max="1" width="19.875" customWidth="1"/>
    <col min="4" max="4" width="13.125" bestFit="1" customWidth="1"/>
    <col min="6" max="6" width="13.875" bestFit="1" customWidth="1"/>
    <col min="12" max="12" width="10.25" customWidth="1"/>
  </cols>
  <sheetData>
    <row r="1" spans="1:20" ht="15" thickBot="1" x14ac:dyDescent="0.25"/>
    <row r="2" spans="1:20" x14ac:dyDescent="0.2">
      <c r="A2" s="33" t="s">
        <v>120</v>
      </c>
      <c r="B2" s="34"/>
      <c r="C2" s="34"/>
      <c r="D2" s="35"/>
    </row>
    <row r="3" spans="1:20" ht="15" thickBot="1" x14ac:dyDescent="0.25">
      <c r="A3" s="36"/>
      <c r="B3" s="37"/>
      <c r="C3" s="37"/>
      <c r="D3" s="38"/>
      <c r="J3" s="6"/>
    </row>
    <row r="5" spans="1:20" ht="15.75" x14ac:dyDescent="0.25">
      <c r="A5" s="5" t="s">
        <v>112</v>
      </c>
      <c r="F5" s="5" t="s">
        <v>218</v>
      </c>
      <c r="L5" s="5" t="s">
        <v>222</v>
      </c>
    </row>
    <row r="6" spans="1:20" x14ac:dyDescent="0.2">
      <c r="A6" s="39" t="s">
        <v>113</v>
      </c>
      <c r="B6" s="39"/>
      <c r="C6" s="39"/>
      <c r="D6" s="39"/>
      <c r="F6" s="39" t="s">
        <v>225</v>
      </c>
      <c r="G6" s="39"/>
      <c r="H6" s="39"/>
      <c r="I6" s="39"/>
      <c r="J6" s="39"/>
      <c r="L6" s="39" t="s">
        <v>224</v>
      </c>
      <c r="M6" s="39"/>
      <c r="N6" s="39"/>
      <c r="O6" s="39"/>
      <c r="P6" s="39"/>
    </row>
    <row r="7" spans="1:20" x14ac:dyDescent="0.2">
      <c r="A7" s="20">
        <f>IFERROR(VLOOKUP('Cleaned Data'!B38,'Cleaned Data'!B2:F51,4,FALSE),"0")</f>
        <v>45000</v>
      </c>
      <c r="F7" s="20" t="str">
        <f ca="1">OFFSET('Cleaned Data'!B5,6,2)</f>
        <v>South</v>
      </c>
      <c r="L7" s="22" t="str">
        <f>INDEX(Table1[#All],4,3)</f>
        <v>Clothing</v>
      </c>
      <c r="S7" t="s">
        <v>228</v>
      </c>
      <c r="T7" t="s">
        <v>233</v>
      </c>
    </row>
    <row r="8" spans="1:20" x14ac:dyDescent="0.2">
      <c r="S8" t="s">
        <v>232</v>
      </c>
      <c r="T8" t="s">
        <v>234</v>
      </c>
    </row>
    <row r="9" spans="1:20" ht="15.75" x14ac:dyDescent="0.25">
      <c r="A9" s="5" t="s">
        <v>119</v>
      </c>
      <c r="F9" s="5" t="s">
        <v>219</v>
      </c>
      <c r="L9" s="5" t="s">
        <v>223</v>
      </c>
      <c r="S9">
        <v>22</v>
      </c>
      <c r="T9">
        <v>23</v>
      </c>
    </row>
    <row r="10" spans="1:20" x14ac:dyDescent="0.2">
      <c r="A10" s="39" t="s">
        <v>114</v>
      </c>
      <c r="B10" s="39"/>
      <c r="C10" s="39"/>
      <c r="D10" s="39"/>
      <c r="F10" s="39" t="s">
        <v>227</v>
      </c>
      <c r="G10" s="39"/>
      <c r="H10" s="39"/>
      <c r="I10" s="39"/>
      <c r="J10" s="39"/>
      <c r="L10" s="39" t="s">
        <v>226</v>
      </c>
      <c r="M10" s="39"/>
      <c r="N10" s="39"/>
      <c r="O10" s="39"/>
      <c r="P10" s="39"/>
    </row>
    <row r="11" spans="1:20" x14ac:dyDescent="0.2">
      <c r="A11" s="22"/>
      <c r="F11" s="20" t="str">
        <f ca="1">INDIRECT("S7")</f>
        <v>Elaris</v>
      </c>
      <c r="L11" s="22">
        <f>MATCH('Data Table'!B8, Table1[[#All],[Product]],0)</f>
        <v>8</v>
      </c>
    </row>
    <row r="13" spans="1:20" ht="15.75" x14ac:dyDescent="0.25">
      <c r="A13" s="5" t="s">
        <v>117</v>
      </c>
      <c r="F13" s="5" t="s">
        <v>220</v>
      </c>
      <c r="L13" s="5" t="s">
        <v>231</v>
      </c>
    </row>
    <row r="14" spans="1:20" x14ac:dyDescent="0.2">
      <c r="A14" s="39" t="s">
        <v>115</v>
      </c>
      <c r="B14" s="39"/>
      <c r="C14" s="39"/>
      <c r="D14" s="39"/>
      <c r="F14" s="39" t="s">
        <v>229</v>
      </c>
      <c r="G14" s="39"/>
      <c r="H14" s="39"/>
      <c r="I14" s="39"/>
      <c r="J14" s="39"/>
      <c r="L14" s="39" t="s">
        <v>230</v>
      </c>
      <c r="M14" s="39"/>
      <c r="N14" s="39"/>
      <c r="O14" s="39"/>
      <c r="P14" s="39"/>
    </row>
    <row r="15" spans="1:20" x14ac:dyDescent="0.2">
      <c r="A15" s="22" t="str">
        <f>HLOOKUP("Laptop",'Cleaned Data'!B2:F51, 1,FALSE)</f>
        <v>Laptop</v>
      </c>
      <c r="F15" s="20" t="str">
        <f>CHOOSE(2, "North", "South", "East")</f>
        <v>South</v>
      </c>
      <c r="L15" s="22" t="str">
        <f>LOOKUP(T7,T7:T9,S7:S9)</f>
        <v>Elaris</v>
      </c>
    </row>
    <row r="16" spans="1:20" x14ac:dyDescent="0.2">
      <c r="L16" s="24"/>
    </row>
    <row r="17" spans="1:10" ht="15.75" x14ac:dyDescent="0.25">
      <c r="A17" s="5" t="s">
        <v>118</v>
      </c>
      <c r="F17" s="5" t="s">
        <v>221</v>
      </c>
    </row>
    <row r="18" spans="1:10" x14ac:dyDescent="0.2">
      <c r="A18" s="40" t="s">
        <v>116</v>
      </c>
      <c r="B18" s="41"/>
      <c r="C18" s="41"/>
      <c r="D18" s="41"/>
      <c r="F18" s="39" t="s">
        <v>235</v>
      </c>
      <c r="G18" s="39"/>
      <c r="H18" s="39"/>
      <c r="I18" s="39"/>
      <c r="J18" s="39"/>
    </row>
    <row r="19" spans="1:10" x14ac:dyDescent="0.2">
      <c r="A19" s="20">
        <f>INDEX('Cleaned Data'!E2:E51, MATCH('Cleaned Data'!B35,'Cleaned Data'!B2:B51,0))</f>
        <v>22000</v>
      </c>
      <c r="F19" s="23" t="str">
        <f t="array" ref="F19">TRANSPOSE('Cleaned Data'!B2:D4)</f>
        <v>Laptop</v>
      </c>
      <c r="G19" s="23" t="str">
        <f t="array" ref="G19">TRANSPOSE('Cleaned Data'!C2:E4)</f>
        <v>Electronics</v>
      </c>
      <c r="H19" s="23" t="str">
        <f t="array" ref="H19">TRANSPOSE('Cleaned Data'!D2:F4)</f>
        <v>North</v>
      </c>
      <c r="I19" s="23">
        <f t="array" ref="I19">TRANSPOSE('Cleaned Data'!E2:G4)</f>
        <v>185000</v>
      </c>
    </row>
    <row r="20" spans="1:10" x14ac:dyDescent="0.2">
      <c r="F20" s="23" t="str">
        <f t="array" ref="F20">TRANSPOSE('Cleaned Data'!B3:D5)</f>
        <v>Office Chair</v>
      </c>
      <c r="G20" s="23" t="str">
        <f t="array" ref="G20">TRANSPOSE('Cleaned Data'!C3:E5)</f>
        <v>Furniture</v>
      </c>
      <c r="H20" s="23" t="str">
        <f t="array" ref="H20">TRANSPOSE('Cleaned Data'!D3:F5)</f>
        <v>South</v>
      </c>
      <c r="I20" s="23">
        <f t="array" ref="I20">TRANSPOSE('Cleaned Data'!E3:G5)</f>
        <v>18500</v>
      </c>
    </row>
    <row r="21" spans="1:10" x14ac:dyDescent="0.2">
      <c r="F21" s="23" t="str">
        <f t="array" ref="F21">TRANSPOSE('Cleaned Data'!B4:D6)</f>
        <v>Men's Jacket</v>
      </c>
      <c r="G21" s="23" t="str">
        <f t="array" ref="G21">TRANSPOSE('Cleaned Data'!C4:E6)</f>
        <v>Clothing</v>
      </c>
      <c r="H21" s="23" t="str">
        <f t="array" ref="H21">TRANSPOSE('Cleaned Data'!D4:F6)</f>
        <v>East</v>
      </c>
      <c r="I21" s="23">
        <f t="array" ref="I21">TRANSPOSE('Cleaned Data'!E4:G6)</f>
        <v>6500</v>
      </c>
    </row>
    <row r="22" spans="1:10" x14ac:dyDescent="0.2">
      <c r="F22" s="23" t="str">
        <f t="array" ref="F22">TRANSPOSE('Cleaned Data'!B5:D7)</f>
        <v>LED TV 42"</v>
      </c>
      <c r="G22" s="23" t="str">
        <f t="array" ref="G22">TRANSPOSE('Cleaned Data'!C5:E7)</f>
        <v>Electronics</v>
      </c>
      <c r="H22" s="23" t="str">
        <f t="array" ref="H22">TRANSPOSE('Cleaned Data'!D5:F7)</f>
        <v>West</v>
      </c>
      <c r="I22" s="23">
        <f t="array" ref="I22">TRANSPOSE('Cleaned Data'!E5:G7)</f>
        <v>98000</v>
      </c>
    </row>
    <row r="23" spans="1:10" x14ac:dyDescent="0.2">
      <c r="F23" s="23" t="str">
        <f t="array" ref="F23">TRANSPOSE('Cleaned Data'!B6:D8)</f>
        <v>Dining Table</v>
      </c>
      <c r="G23" s="23" t="str">
        <f t="array" ref="G23">TRANSPOSE('Cleaned Data'!C6:E8)</f>
        <v>Furniture</v>
      </c>
      <c r="H23" s="23" t="str">
        <f t="array" ref="H23">TRANSPOSE('Cleaned Data'!D6:F8)</f>
        <v>North</v>
      </c>
      <c r="I23" s="23">
        <f t="array" ref="I23">TRANSPOSE('Cleaned Data'!E6:G8)</f>
        <v>75000</v>
      </c>
    </row>
  </sheetData>
  <mergeCells count="12">
    <mergeCell ref="F18:J18"/>
    <mergeCell ref="A10:D10"/>
    <mergeCell ref="A6:D6"/>
    <mergeCell ref="A14:D14"/>
    <mergeCell ref="A18:D18"/>
    <mergeCell ref="L14:P14"/>
    <mergeCell ref="A2:D3"/>
    <mergeCell ref="L6:P6"/>
    <mergeCell ref="L10:P10"/>
    <mergeCell ref="F10:J10"/>
    <mergeCell ref="F6:J6"/>
    <mergeCell ref="F14:J1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topLeftCell="A2" workbookViewId="0">
      <selection activeCell="M20" sqref="M20"/>
    </sheetView>
  </sheetViews>
  <sheetFormatPr defaultRowHeight="14.25" x14ac:dyDescent="0.2"/>
  <cols>
    <col min="1" max="1" width="14.25" customWidth="1"/>
    <col min="5" max="5" width="2.75" customWidth="1"/>
    <col min="6" max="6" width="1.125" customWidth="1"/>
    <col min="7" max="7" width="18.875" bestFit="1" customWidth="1"/>
    <col min="11" max="11" width="4.125" customWidth="1"/>
    <col min="12" max="12" width="2" customWidth="1"/>
    <col min="13" max="13" width="21.75" bestFit="1" customWidth="1"/>
    <col min="18" max="18" width="7.75" customWidth="1"/>
    <col min="23" max="23" width="11.75" customWidth="1"/>
  </cols>
  <sheetData>
    <row r="1" spans="1:25" ht="15" thickBot="1" x14ac:dyDescent="0.25"/>
    <row r="2" spans="1:25" x14ac:dyDescent="0.2">
      <c r="A2" s="42" t="s">
        <v>121</v>
      </c>
      <c r="B2" s="43"/>
      <c r="C2" s="43"/>
      <c r="D2" s="43"/>
      <c r="E2" s="44"/>
    </row>
    <row r="3" spans="1:25" ht="15" thickBot="1" x14ac:dyDescent="0.25">
      <c r="A3" s="45"/>
      <c r="B3" s="46"/>
      <c r="C3" s="46"/>
      <c r="D3" s="46"/>
      <c r="E3" s="47"/>
    </row>
    <row r="4" spans="1:25" x14ac:dyDescent="0.2">
      <c r="B4" s="7"/>
      <c r="C4" s="7"/>
      <c r="D4" s="7"/>
      <c r="E4" s="7"/>
    </row>
    <row r="5" spans="1:25" ht="15" x14ac:dyDescent="0.2">
      <c r="B5" s="7"/>
      <c r="C5" s="7"/>
      <c r="D5" s="7"/>
      <c r="E5" s="7"/>
      <c r="S5" s="1" t="s">
        <v>238</v>
      </c>
      <c r="T5" s="1" t="s">
        <v>239</v>
      </c>
      <c r="U5" s="1" t="s">
        <v>240</v>
      </c>
      <c r="V5" s="1" t="s">
        <v>241</v>
      </c>
      <c r="W5" s="1" t="s">
        <v>242</v>
      </c>
      <c r="X5" s="1" t="s">
        <v>243</v>
      </c>
      <c r="Y5" s="1" t="s">
        <v>244</v>
      </c>
    </row>
    <row r="6" spans="1:25" ht="15.75" x14ac:dyDescent="0.25">
      <c r="A6" s="5" t="s">
        <v>122</v>
      </c>
      <c r="B6" s="7"/>
      <c r="C6" s="7"/>
      <c r="D6" s="7"/>
      <c r="E6" s="7"/>
      <c r="G6" s="5" t="s">
        <v>123</v>
      </c>
      <c r="M6" s="5" t="s">
        <v>124</v>
      </c>
      <c r="S6" s="3">
        <v>1</v>
      </c>
      <c r="T6" s="3" t="s">
        <v>245</v>
      </c>
      <c r="U6" s="3">
        <v>22</v>
      </c>
      <c r="V6" s="3" t="s">
        <v>246</v>
      </c>
      <c r="W6" s="3" t="s">
        <v>247</v>
      </c>
      <c r="X6" s="3">
        <v>85</v>
      </c>
      <c r="Y6" s="3" t="s">
        <v>248</v>
      </c>
    </row>
    <row r="7" spans="1:25" x14ac:dyDescent="0.2">
      <c r="A7" s="39" t="s">
        <v>125</v>
      </c>
      <c r="B7" s="39"/>
      <c r="C7" s="39"/>
      <c r="D7" s="39"/>
      <c r="G7" s="39" t="s">
        <v>127</v>
      </c>
      <c r="H7" s="39"/>
      <c r="I7" s="39"/>
      <c r="J7" s="39"/>
      <c r="M7" s="39" t="s">
        <v>129</v>
      </c>
      <c r="N7" s="39"/>
      <c r="O7" s="39"/>
      <c r="P7" s="39"/>
      <c r="S7" s="3">
        <v>2</v>
      </c>
      <c r="T7" s="3" t="s">
        <v>249</v>
      </c>
      <c r="U7" s="3">
        <v>24</v>
      </c>
      <c r="V7" s="3" t="s">
        <v>250</v>
      </c>
      <c r="W7" s="3" t="s">
        <v>251</v>
      </c>
      <c r="X7" s="3">
        <v>78</v>
      </c>
      <c r="Y7" s="3" t="s">
        <v>248</v>
      </c>
    </row>
    <row r="8" spans="1:25" x14ac:dyDescent="0.2">
      <c r="A8" s="22" t="str">
        <f>IF('Cleaned Data'!E2&gt;10000, "In Budget", "Expensive")</f>
        <v>In Budget</v>
      </c>
      <c r="G8" s="22">
        <f>SUMIF('Cleaned Data'!C2:C50,"Electronics",'Cleaned Data'!E2:E51)</f>
        <v>1340000</v>
      </c>
      <c r="M8" s="22">
        <f>COUNTIF('Cleaned Data'!D2:D50,"North")</f>
        <v>13</v>
      </c>
      <c r="S8" s="3">
        <v>3</v>
      </c>
      <c r="T8" s="3" t="s">
        <v>252</v>
      </c>
      <c r="U8" s="3">
        <v>21</v>
      </c>
      <c r="V8" s="3" t="s">
        <v>246</v>
      </c>
      <c r="W8" s="3" t="s">
        <v>253</v>
      </c>
      <c r="X8" s="3">
        <v>92</v>
      </c>
      <c r="Y8" s="3" t="s">
        <v>248</v>
      </c>
    </row>
    <row r="9" spans="1:25" x14ac:dyDescent="0.2">
      <c r="S9" s="3">
        <v>4</v>
      </c>
      <c r="T9" s="3" t="s">
        <v>254</v>
      </c>
      <c r="U9" s="3">
        <v>23</v>
      </c>
      <c r="V9" s="3" t="s">
        <v>250</v>
      </c>
      <c r="W9" s="3" t="s">
        <v>255</v>
      </c>
      <c r="X9" s="3">
        <v>67</v>
      </c>
      <c r="Y9" s="3" t="s">
        <v>248</v>
      </c>
    </row>
    <row r="10" spans="1:25" ht="15.75" x14ac:dyDescent="0.25">
      <c r="A10" s="5" t="s">
        <v>131</v>
      </c>
      <c r="G10" s="5" t="s">
        <v>236</v>
      </c>
      <c r="M10" s="5" t="s">
        <v>130</v>
      </c>
      <c r="S10" s="3">
        <v>5</v>
      </c>
      <c r="T10" s="3" t="s">
        <v>256</v>
      </c>
      <c r="U10" s="3">
        <v>25</v>
      </c>
      <c r="V10" s="3" t="s">
        <v>246</v>
      </c>
      <c r="W10" s="3" t="s">
        <v>257</v>
      </c>
      <c r="X10" s="3">
        <v>74</v>
      </c>
      <c r="Y10" s="3" t="s">
        <v>248</v>
      </c>
    </row>
    <row r="11" spans="1:25" x14ac:dyDescent="0.2">
      <c r="A11" s="39" t="s">
        <v>126</v>
      </c>
      <c r="B11" s="39"/>
      <c r="C11" s="39"/>
      <c r="D11" s="39"/>
      <c r="G11" s="39" t="s">
        <v>128</v>
      </c>
      <c r="H11" s="39"/>
      <c r="I11" s="39"/>
      <c r="J11" s="39"/>
      <c r="M11" s="39" t="s">
        <v>130</v>
      </c>
      <c r="N11" s="39"/>
      <c r="O11" s="39"/>
      <c r="P11" s="39"/>
      <c r="S11" s="3">
        <v>6</v>
      </c>
      <c r="T11" s="3" t="s">
        <v>258</v>
      </c>
      <c r="U11" s="3">
        <v>22</v>
      </c>
      <c r="V11" s="3" t="s">
        <v>250</v>
      </c>
      <c r="W11" s="3" t="s">
        <v>259</v>
      </c>
      <c r="X11" s="3">
        <v>58</v>
      </c>
      <c r="Y11" s="3" t="s">
        <v>260</v>
      </c>
    </row>
    <row r="12" spans="1:25" x14ac:dyDescent="0.2">
      <c r="A12" s="22"/>
      <c r="G12" s="22">
        <v>450000</v>
      </c>
      <c r="M12" s="22">
        <f>COUNTIFS('Cleaned Data'!D2:D50,"North",'Cleaned Data'!C2:C50,"Electronics")</f>
        <v>7</v>
      </c>
      <c r="S12" s="3">
        <v>7</v>
      </c>
      <c r="T12" s="3" t="s">
        <v>261</v>
      </c>
      <c r="U12" s="3">
        <v>23</v>
      </c>
      <c r="V12" s="3" t="s">
        <v>246</v>
      </c>
      <c r="W12" s="3" t="s">
        <v>262</v>
      </c>
      <c r="X12" s="3">
        <v>81</v>
      </c>
      <c r="Y12" s="3" t="s">
        <v>248</v>
      </c>
    </row>
    <row r="13" spans="1:25" x14ac:dyDescent="0.2">
      <c r="S13" s="3">
        <v>8</v>
      </c>
      <c r="T13" s="3" t="s">
        <v>263</v>
      </c>
      <c r="U13" s="3">
        <v>26</v>
      </c>
      <c r="V13" s="3" t="s">
        <v>250</v>
      </c>
      <c r="W13" s="3" t="s">
        <v>264</v>
      </c>
      <c r="X13" s="3">
        <v>49</v>
      </c>
      <c r="Y13" s="3" t="s">
        <v>260</v>
      </c>
    </row>
    <row r="14" spans="1:25" ht="15.75" x14ac:dyDescent="0.25">
      <c r="A14" s="5" t="s">
        <v>215</v>
      </c>
      <c r="G14" s="5" t="s">
        <v>217</v>
      </c>
      <c r="M14" s="5" t="s">
        <v>272</v>
      </c>
      <c r="S14" s="3">
        <v>9</v>
      </c>
      <c r="T14" s="3" t="s">
        <v>265</v>
      </c>
      <c r="U14" s="3">
        <v>24</v>
      </c>
      <c r="V14" s="3" t="s">
        <v>246</v>
      </c>
      <c r="W14" s="3" t="s">
        <v>266</v>
      </c>
      <c r="X14" s="3">
        <v>88</v>
      </c>
      <c r="Y14" s="3" t="s">
        <v>248</v>
      </c>
    </row>
    <row r="15" spans="1:25" x14ac:dyDescent="0.2">
      <c r="A15" s="39" t="s">
        <v>237</v>
      </c>
      <c r="B15" s="39"/>
      <c r="C15" s="39"/>
      <c r="D15" s="39"/>
      <c r="G15" s="39" t="s">
        <v>270</v>
      </c>
      <c r="H15" s="39"/>
      <c r="I15" s="39"/>
      <c r="J15" s="39"/>
      <c r="M15" s="39" t="s">
        <v>275</v>
      </c>
      <c r="N15" s="39"/>
      <c r="O15" s="39"/>
      <c r="P15" s="39"/>
      <c r="S15" s="3">
        <v>10</v>
      </c>
      <c r="T15" s="3" t="s">
        <v>267</v>
      </c>
      <c r="U15" s="3">
        <v>27</v>
      </c>
      <c r="V15" s="3" t="s">
        <v>250</v>
      </c>
      <c r="W15" s="3" t="s">
        <v>268</v>
      </c>
      <c r="X15" s="3">
        <v>73</v>
      </c>
      <c r="Y15" s="3" t="s">
        <v>248</v>
      </c>
    </row>
    <row r="16" spans="1:25" x14ac:dyDescent="0.2">
      <c r="A16" s="22" t="b">
        <f>AND(X6&gt;60, U7&lt;30)</f>
        <v>1</v>
      </c>
      <c r="G16" s="22" t="b">
        <f>NOT(X6&gt;60)</f>
        <v>0</v>
      </c>
      <c r="M16" s="22" t="str">
        <f>IF(OR(X6&gt;60, U6&gt;30), "Priority", "Normal")</f>
        <v>Priority</v>
      </c>
    </row>
    <row r="18" spans="1:18" ht="15.75" x14ac:dyDescent="0.25">
      <c r="A18" s="5" t="s">
        <v>216</v>
      </c>
      <c r="G18" s="5" t="s">
        <v>271</v>
      </c>
      <c r="M18" s="5" t="s">
        <v>273</v>
      </c>
    </row>
    <row r="19" spans="1:18" x14ac:dyDescent="0.2">
      <c r="A19" s="39" t="s">
        <v>269</v>
      </c>
      <c r="B19" s="39"/>
      <c r="C19" s="39"/>
      <c r="D19" s="39"/>
      <c r="G19" s="39" t="s">
        <v>274</v>
      </c>
      <c r="H19" s="39"/>
      <c r="I19" s="39"/>
      <c r="J19" s="39"/>
      <c r="K19" s="39"/>
      <c r="M19" s="39" t="s">
        <v>276</v>
      </c>
      <c r="N19" s="39"/>
      <c r="O19" s="39"/>
      <c r="P19" s="39"/>
      <c r="Q19" s="39"/>
      <c r="R19" s="39"/>
    </row>
    <row r="20" spans="1:18" x14ac:dyDescent="0.2">
      <c r="A20" s="22" t="b">
        <f>OR(X6&gt;60, U6&gt;30)</f>
        <v>1</v>
      </c>
      <c r="G20" s="22" t="str">
        <f>IF(AND(X6&gt;60, U7&lt;30), "Target Achieved", "Not Achieved")</f>
        <v>Target Achieved</v>
      </c>
      <c r="M20" s="22" t="str">
        <f>IF(AND(X6&gt;20, OR(W6 ="Karachi", W9="Sialkot")), "Priority", "Normal")</f>
        <v>Priority</v>
      </c>
    </row>
  </sheetData>
  <mergeCells count="13">
    <mergeCell ref="A15:D15"/>
    <mergeCell ref="A19:D19"/>
    <mergeCell ref="G15:J15"/>
    <mergeCell ref="M15:P15"/>
    <mergeCell ref="G19:K19"/>
    <mergeCell ref="M19:R19"/>
    <mergeCell ref="M7:P7"/>
    <mergeCell ref="M11:P11"/>
    <mergeCell ref="A2:E3"/>
    <mergeCell ref="A7:D7"/>
    <mergeCell ref="A11:D11"/>
    <mergeCell ref="G7:J7"/>
    <mergeCell ref="G11:J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selection activeCell="S22" sqref="S22"/>
    </sheetView>
  </sheetViews>
  <sheetFormatPr defaultRowHeight="14.25" x14ac:dyDescent="0.2"/>
  <cols>
    <col min="1" max="1" width="13.25" bestFit="1" customWidth="1"/>
    <col min="5" max="5" width="2.125" customWidth="1"/>
    <col min="6" max="6" width="2.5" customWidth="1"/>
    <col min="7" max="7" width="13.875" bestFit="1" customWidth="1"/>
    <col min="8" max="8" width="9" customWidth="1"/>
    <col min="10" max="10" width="8.75" customWidth="1"/>
    <col min="11" max="11" width="2.25" customWidth="1"/>
    <col min="12" max="12" width="2.375" customWidth="1"/>
    <col min="13" max="13" width="18.375" customWidth="1"/>
    <col min="17" max="17" width="2.375" customWidth="1"/>
    <col min="18" max="18" width="2.5" customWidth="1"/>
    <col min="19" max="19" width="11.625" customWidth="1"/>
    <col min="20" max="20" width="11.25" customWidth="1"/>
    <col min="21" max="21" width="12" customWidth="1"/>
    <col min="22" max="22" width="12.25" customWidth="1"/>
    <col min="23" max="23" width="20.5" bestFit="1" customWidth="1"/>
    <col min="24" max="24" width="4.375" customWidth="1"/>
  </cols>
  <sheetData>
    <row r="1" spans="1:24" ht="15" thickBot="1" x14ac:dyDescent="0.25">
      <c r="X1" t="s">
        <v>175</v>
      </c>
    </row>
    <row r="2" spans="1:24" x14ac:dyDescent="0.2">
      <c r="A2" s="27" t="s">
        <v>180</v>
      </c>
      <c r="B2" s="28"/>
      <c r="C2" s="28"/>
      <c r="D2" s="29"/>
      <c r="X2" t="s">
        <v>176</v>
      </c>
    </row>
    <row r="3" spans="1:24" ht="15" thickBot="1" x14ac:dyDescent="0.25">
      <c r="A3" s="30"/>
      <c r="B3" s="31"/>
      <c r="C3" s="31"/>
      <c r="D3" s="32"/>
      <c r="X3" t="s">
        <v>177</v>
      </c>
    </row>
    <row r="4" spans="1:24" x14ac:dyDescent="0.2">
      <c r="W4" t="s">
        <v>171</v>
      </c>
      <c r="X4" t="s">
        <v>178</v>
      </c>
    </row>
    <row r="5" spans="1:24" ht="15.75" x14ac:dyDescent="0.25">
      <c r="A5" s="14" t="s">
        <v>148</v>
      </c>
      <c r="G5" s="5" t="s">
        <v>152</v>
      </c>
      <c r="M5" s="5" t="s">
        <v>163</v>
      </c>
      <c r="S5" s="5" t="s">
        <v>292</v>
      </c>
      <c r="W5" t="s">
        <v>172</v>
      </c>
      <c r="X5" t="s">
        <v>179</v>
      </c>
    </row>
    <row r="6" spans="1:24" ht="15" x14ac:dyDescent="0.25">
      <c r="A6" s="39" t="s">
        <v>153</v>
      </c>
      <c r="B6" s="39"/>
      <c r="C6" s="39"/>
      <c r="D6" s="39"/>
      <c r="G6" s="39" t="s">
        <v>156</v>
      </c>
      <c r="H6" s="39"/>
      <c r="I6" s="39"/>
      <c r="J6" s="39"/>
      <c r="M6" s="39" t="s">
        <v>168</v>
      </c>
      <c r="N6" s="39"/>
      <c r="O6" s="39"/>
      <c r="P6" s="39"/>
      <c r="S6" s="39" t="s">
        <v>325</v>
      </c>
      <c r="T6" s="39"/>
      <c r="U6" s="39"/>
      <c r="V6" s="48"/>
      <c r="W6" s="18" t="s">
        <v>173</v>
      </c>
    </row>
    <row r="7" spans="1:24" x14ac:dyDescent="0.2">
      <c r="A7" s="22" t="str">
        <f>LEFT(W4,4)</f>
        <v>Micr</v>
      </c>
      <c r="B7" s="19"/>
      <c r="G7" s="22">
        <f>FIND("c",W4)</f>
        <v>3</v>
      </c>
      <c r="M7" s="22" t="str">
        <f>PROPER(W7)</f>
        <v>Microsoft Excel</v>
      </c>
      <c r="S7" s="22" t="str">
        <f ca="1">TEXT(TODAY(),"dd-mmm-yyyy")</f>
        <v>10-Feb-2026</v>
      </c>
      <c r="W7" t="s">
        <v>174</v>
      </c>
    </row>
    <row r="9" spans="1:24" ht="15.75" x14ac:dyDescent="0.25">
      <c r="A9" s="14" t="s">
        <v>149</v>
      </c>
      <c r="G9" s="5" t="s">
        <v>158</v>
      </c>
      <c r="M9" s="5" t="s">
        <v>165</v>
      </c>
      <c r="S9" s="5" t="s">
        <v>293</v>
      </c>
    </row>
    <row r="10" spans="1:24" x14ac:dyDescent="0.2">
      <c r="A10" s="39" t="s">
        <v>153</v>
      </c>
      <c r="B10" s="39"/>
      <c r="C10" s="39"/>
      <c r="D10" s="39"/>
      <c r="G10" s="39" t="s">
        <v>157</v>
      </c>
      <c r="H10" s="39"/>
      <c r="I10" s="39"/>
      <c r="J10" s="39"/>
      <c r="M10" s="39" t="s">
        <v>166</v>
      </c>
      <c r="N10" s="39"/>
      <c r="O10" s="39"/>
      <c r="P10" s="39"/>
      <c r="S10" s="39" t="s">
        <v>327</v>
      </c>
      <c r="T10" s="39"/>
      <c r="U10" s="39"/>
      <c r="V10" s="39"/>
    </row>
    <row r="11" spans="1:24" x14ac:dyDescent="0.2">
      <c r="A11" s="22" t="str">
        <f>RIGHT(W4,4)</f>
        <v>xcel</v>
      </c>
      <c r="G11" s="22">
        <f>SEARCH("E",W4)</f>
        <v>11</v>
      </c>
      <c r="M11" s="22" t="str">
        <f>UPPER(W7)</f>
        <v>MICROSOFT EXCEL</v>
      </c>
      <c r="S11" s="22">
        <f>VALUE("125000")</f>
        <v>125000</v>
      </c>
    </row>
    <row r="13" spans="1:24" ht="15.75" x14ac:dyDescent="0.25">
      <c r="A13" s="14" t="s">
        <v>150</v>
      </c>
      <c r="G13" s="5" t="s">
        <v>159</v>
      </c>
      <c r="M13" s="5" t="s">
        <v>164</v>
      </c>
      <c r="S13" s="5" t="s">
        <v>294</v>
      </c>
    </row>
    <row r="14" spans="1:24" x14ac:dyDescent="0.2">
      <c r="A14" s="39" t="s">
        <v>154</v>
      </c>
      <c r="B14" s="39"/>
      <c r="C14" s="39"/>
      <c r="D14" s="39"/>
      <c r="G14" s="39" t="s">
        <v>161</v>
      </c>
      <c r="H14" s="39"/>
      <c r="I14" s="39"/>
      <c r="J14" s="39"/>
      <c r="M14" s="39" t="s">
        <v>167</v>
      </c>
      <c r="N14" s="39"/>
      <c r="O14" s="39"/>
      <c r="P14" s="39"/>
      <c r="S14" s="39" t="s">
        <v>326</v>
      </c>
      <c r="T14" s="39"/>
      <c r="U14" s="39"/>
      <c r="V14" s="39"/>
    </row>
    <row r="15" spans="1:24" x14ac:dyDescent="0.2">
      <c r="A15" s="22" t="str">
        <f>MID(W4,6,4)</f>
        <v>soft</v>
      </c>
      <c r="G15" s="22" t="str">
        <f>TRIM(W5)</f>
        <v>Microsoft Excel</v>
      </c>
      <c r="M15" s="22" t="str">
        <f>LOWER(W7)</f>
        <v>microsoft excel</v>
      </c>
      <c r="S15" s="22" t="str">
        <f>REPLACE("Laptop","1",3,"Phone")</f>
        <v>Phonetop</v>
      </c>
    </row>
    <row r="17" spans="1:22" ht="15.75" x14ac:dyDescent="0.25">
      <c r="A17" s="5" t="s">
        <v>151</v>
      </c>
      <c r="G17" s="5" t="s">
        <v>160</v>
      </c>
      <c r="M17" s="5" t="s">
        <v>169</v>
      </c>
      <c r="S17" s="5" t="s">
        <v>295</v>
      </c>
    </row>
    <row r="18" spans="1:22" x14ac:dyDescent="0.2">
      <c r="A18" s="39" t="s">
        <v>155</v>
      </c>
      <c r="B18" s="39"/>
      <c r="C18" s="39"/>
      <c r="D18" s="39"/>
      <c r="G18" s="39" t="s">
        <v>162</v>
      </c>
      <c r="H18" s="39"/>
      <c r="I18" s="39"/>
      <c r="J18" s="39"/>
      <c r="M18" s="39" t="s">
        <v>170</v>
      </c>
      <c r="N18" s="39"/>
      <c r="O18" s="39"/>
      <c r="P18" s="39"/>
      <c r="S18" s="39" t="s">
        <v>328</v>
      </c>
      <c r="T18" s="39"/>
      <c r="U18" s="39"/>
      <c r="V18" s="39"/>
    </row>
    <row r="19" spans="1:22" x14ac:dyDescent="0.2">
      <c r="A19" s="22">
        <f>LEN(W4)</f>
        <v>15</v>
      </c>
      <c r="G19" s="22" t="str">
        <f>CLEAN(W6)</f>
        <v xml:space="preserve">Microsoft Excel </v>
      </c>
      <c r="M19" s="22" t="str">
        <f>CONCATENATE(X1,X2,X3,X4,X5)</f>
        <v>ABCDE</v>
      </c>
      <c r="S19" s="22" t="b">
        <f>EXACT("Laptop","laptop")</f>
        <v>0</v>
      </c>
    </row>
    <row r="21" spans="1:22" ht="15.75" x14ac:dyDescent="0.25">
      <c r="A21" s="5" t="s">
        <v>298</v>
      </c>
      <c r="G21" s="5" t="s">
        <v>299</v>
      </c>
    </row>
    <row r="22" spans="1:22" x14ac:dyDescent="0.2">
      <c r="A22" s="39" t="s">
        <v>322</v>
      </c>
      <c r="B22" s="39"/>
      <c r="C22" s="39"/>
      <c r="D22" s="39"/>
      <c r="G22" s="39" t="s">
        <v>323</v>
      </c>
      <c r="H22" s="39"/>
      <c r="I22" s="39"/>
      <c r="J22" s="39"/>
    </row>
    <row r="23" spans="1:22" x14ac:dyDescent="0.2">
      <c r="A23" s="23" t="s">
        <v>324</v>
      </c>
      <c r="G23" s="23" t="s">
        <v>324</v>
      </c>
    </row>
  </sheetData>
  <mergeCells count="19">
    <mergeCell ref="A2:D3"/>
    <mergeCell ref="A6:D6"/>
    <mergeCell ref="A18:D18"/>
    <mergeCell ref="G18:J18"/>
    <mergeCell ref="M18:P18"/>
    <mergeCell ref="A10:D10"/>
    <mergeCell ref="A14:D14"/>
    <mergeCell ref="G14:J14"/>
    <mergeCell ref="G6:J6"/>
    <mergeCell ref="M14:P14"/>
    <mergeCell ref="M10:P10"/>
    <mergeCell ref="M6:P6"/>
    <mergeCell ref="G10:J10"/>
    <mergeCell ref="S6:V6"/>
    <mergeCell ref="S10:V10"/>
    <mergeCell ref="S14:V14"/>
    <mergeCell ref="S18:V18"/>
    <mergeCell ref="A22:D22"/>
    <mergeCell ref="G22:J2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selection activeCell="O12" sqref="O12"/>
    </sheetView>
  </sheetViews>
  <sheetFormatPr defaultRowHeight="14.25" x14ac:dyDescent="0.2"/>
  <cols>
    <col min="1" max="1" width="12" bestFit="1" customWidth="1"/>
    <col min="4" max="4" width="12.375" customWidth="1"/>
    <col min="5" max="5" width="3.875" customWidth="1"/>
    <col min="6" max="6" width="3.625" customWidth="1"/>
    <col min="7" max="7" width="14.375" bestFit="1" customWidth="1"/>
    <col min="12" max="12" width="8.75" customWidth="1"/>
    <col min="13" max="13" width="8.125" customWidth="1"/>
    <col min="17" max="17" width="10.625" customWidth="1"/>
  </cols>
  <sheetData>
    <row r="1" spans="1:19" ht="15" thickBot="1" x14ac:dyDescent="0.25"/>
    <row r="2" spans="1:19" x14ac:dyDescent="0.2">
      <c r="A2" s="27" t="s">
        <v>202</v>
      </c>
      <c r="B2" s="28"/>
      <c r="C2" s="28"/>
      <c r="D2" s="29"/>
    </row>
    <row r="3" spans="1:19" ht="15" thickBot="1" x14ac:dyDescent="0.25">
      <c r="A3" s="30"/>
      <c r="B3" s="31"/>
      <c r="C3" s="31"/>
      <c r="D3" s="32"/>
    </row>
    <row r="5" spans="1:19" ht="15.75" x14ac:dyDescent="0.25">
      <c r="A5" s="5" t="s">
        <v>203</v>
      </c>
      <c r="G5" s="5" t="s">
        <v>206</v>
      </c>
      <c r="O5" s="1"/>
      <c r="Q5" s="1"/>
      <c r="R5" s="1" t="s">
        <v>1</v>
      </c>
      <c r="S5" s="1" t="s">
        <v>4</v>
      </c>
    </row>
    <row r="6" spans="1:19" x14ac:dyDescent="0.2">
      <c r="A6" s="39" t="s">
        <v>211</v>
      </c>
      <c r="B6" s="39"/>
      <c r="C6" s="39"/>
      <c r="D6" s="39"/>
      <c r="G6" s="39" t="s">
        <v>212</v>
      </c>
      <c r="H6" s="39"/>
      <c r="I6" s="39"/>
      <c r="J6" s="39"/>
      <c r="K6" s="39"/>
      <c r="R6" s="3" t="s">
        <v>5</v>
      </c>
      <c r="S6" s="3">
        <v>2</v>
      </c>
    </row>
    <row r="7" spans="1:19" x14ac:dyDescent="0.2">
      <c r="A7" s="23" t="b">
        <f>ISERROR(A2/B2)</f>
        <v>1</v>
      </c>
      <c r="G7" s="23" t="b">
        <f>ISNA(VLOOKUP("Tablet", R5:S10, 2, FALSE))</f>
        <v>1</v>
      </c>
      <c r="O7" s="2"/>
      <c r="Q7" s="3"/>
      <c r="R7" s="3" t="s">
        <v>329</v>
      </c>
      <c r="S7" s="3">
        <v>0</v>
      </c>
    </row>
    <row r="8" spans="1:19" x14ac:dyDescent="0.2">
      <c r="O8" s="2"/>
      <c r="Q8" s="3"/>
      <c r="R8" s="3" t="s">
        <v>330</v>
      </c>
      <c r="S8" s="3">
        <v>8</v>
      </c>
    </row>
    <row r="9" spans="1:19" ht="15.75" x14ac:dyDescent="0.25">
      <c r="A9" s="5" t="s">
        <v>204</v>
      </c>
      <c r="G9" s="5" t="s">
        <v>207</v>
      </c>
      <c r="O9" s="2"/>
      <c r="Q9" s="3"/>
      <c r="R9" s="3" t="s">
        <v>331</v>
      </c>
      <c r="S9" s="3">
        <v>3</v>
      </c>
    </row>
    <row r="10" spans="1:19" x14ac:dyDescent="0.2">
      <c r="A10" s="39" t="s">
        <v>210</v>
      </c>
      <c r="B10" s="39"/>
      <c r="C10" s="39"/>
      <c r="D10" s="39"/>
      <c r="G10" s="39" t="s">
        <v>213</v>
      </c>
      <c r="H10" s="39"/>
      <c r="I10" s="39"/>
      <c r="J10" s="39"/>
      <c r="K10" s="39"/>
      <c r="O10" s="2"/>
      <c r="Q10" s="3"/>
      <c r="R10" s="3" t="s">
        <v>332</v>
      </c>
      <c r="S10" s="3">
        <v>10</v>
      </c>
    </row>
    <row r="11" spans="1:19" x14ac:dyDescent="0.2">
      <c r="A11" s="23" t="b">
        <f>ISBLANK(C2)</f>
        <v>1</v>
      </c>
      <c r="G11" s="23" t="str">
        <f>_xlfn.IFNA(VLOOKUP("Tablet", R5:S10, 2, FALSE), "Not Found")</f>
        <v>Not Found</v>
      </c>
    </row>
    <row r="13" spans="1:19" ht="15.75" x14ac:dyDescent="0.25">
      <c r="A13" s="5" t="s">
        <v>205</v>
      </c>
      <c r="G13" s="5" t="s">
        <v>296</v>
      </c>
    </row>
    <row r="14" spans="1:19" x14ac:dyDescent="0.2">
      <c r="A14" s="39" t="s">
        <v>208</v>
      </c>
      <c r="B14" s="39"/>
      <c r="C14" s="39"/>
      <c r="D14" s="39"/>
      <c r="G14" s="39" t="s">
        <v>333</v>
      </c>
      <c r="H14" s="39"/>
      <c r="I14" s="39"/>
      <c r="J14" s="39"/>
      <c r="K14" s="39"/>
    </row>
    <row r="15" spans="1:19" x14ac:dyDescent="0.2">
      <c r="A15" s="23" t="str">
        <f>IFERROR(S6/S7,"  Error " )</f>
        <v xml:space="preserve">  Error </v>
      </c>
      <c r="G15" s="23" t="b">
        <f>ISTEXT(R6)</f>
        <v>1</v>
      </c>
    </row>
    <row r="17" spans="1:11" ht="15.75" x14ac:dyDescent="0.25">
      <c r="A17" s="5" t="s">
        <v>209</v>
      </c>
      <c r="G17" s="5" t="s">
        <v>334</v>
      </c>
    </row>
    <row r="18" spans="1:11" x14ac:dyDescent="0.2">
      <c r="A18" s="39" t="s">
        <v>214</v>
      </c>
      <c r="B18" s="39"/>
      <c r="C18" s="39"/>
      <c r="D18" s="39"/>
      <c r="G18" s="39" t="s">
        <v>335</v>
      </c>
      <c r="H18" s="39"/>
      <c r="I18" s="39"/>
      <c r="J18" s="39"/>
      <c r="K18" s="39"/>
    </row>
    <row r="19" spans="1:11" x14ac:dyDescent="0.2">
      <c r="A19" s="23" t="b">
        <f>ISNUMBER(S6/S7)</f>
        <v>0</v>
      </c>
      <c r="G19" s="23">
        <f>ERROR.TYPE(S6/S7)</f>
        <v>2</v>
      </c>
    </row>
  </sheetData>
  <mergeCells count="9">
    <mergeCell ref="G6:K6"/>
    <mergeCell ref="G10:K10"/>
    <mergeCell ref="A18:D18"/>
    <mergeCell ref="A2:D3"/>
    <mergeCell ref="A6:D6"/>
    <mergeCell ref="A10:D10"/>
    <mergeCell ref="A14:D14"/>
    <mergeCell ref="G14:K14"/>
    <mergeCell ref="G18:K1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P15" sqref="P15"/>
    </sheetView>
  </sheetViews>
  <sheetFormatPr defaultRowHeight="14.25" x14ac:dyDescent="0.2"/>
  <cols>
    <col min="1" max="1" width="13.25" bestFit="1" customWidth="1"/>
    <col min="4" max="4" width="8.625" customWidth="1"/>
    <col min="5" max="6" width="2.75" customWidth="1"/>
    <col min="7" max="7" width="9.625" customWidth="1"/>
    <col min="12" max="12" width="2.75" customWidth="1"/>
    <col min="13" max="13" width="2.5" customWidth="1"/>
    <col min="14" max="14" width="17.375" bestFit="1" customWidth="1"/>
  </cols>
  <sheetData>
    <row r="1" spans="1:18" ht="16.5" thickBot="1" x14ac:dyDescent="0.3">
      <c r="N1" s="5" t="s">
        <v>346</v>
      </c>
    </row>
    <row r="2" spans="1:18" x14ac:dyDescent="0.2">
      <c r="A2" s="27" t="s">
        <v>181</v>
      </c>
      <c r="B2" s="28"/>
      <c r="C2" s="28"/>
      <c r="D2" s="29"/>
      <c r="N2" s="39" t="s">
        <v>347</v>
      </c>
      <c r="O2" s="39"/>
      <c r="P2" s="39"/>
      <c r="Q2" s="39"/>
      <c r="R2" s="39"/>
    </row>
    <row r="3" spans="1:18" ht="15" thickBot="1" x14ac:dyDescent="0.25">
      <c r="A3" s="30"/>
      <c r="B3" s="31"/>
      <c r="C3" s="31"/>
      <c r="D3" s="32"/>
      <c r="N3" s="23">
        <f>WEEKDAY("09/02/2026",2)</f>
        <v>1</v>
      </c>
    </row>
    <row r="5" spans="1:18" ht="15.75" x14ac:dyDescent="0.25">
      <c r="A5" s="5" t="s">
        <v>182</v>
      </c>
      <c r="G5" s="5" t="s">
        <v>186</v>
      </c>
      <c r="N5" s="5" t="s">
        <v>190</v>
      </c>
    </row>
    <row r="6" spans="1:18" x14ac:dyDescent="0.2">
      <c r="A6" s="39" t="s">
        <v>200</v>
      </c>
      <c r="B6" s="39"/>
      <c r="C6" s="39"/>
      <c r="D6" s="39"/>
      <c r="G6" s="39" t="s">
        <v>197</v>
      </c>
      <c r="H6" s="39"/>
      <c r="I6" s="39"/>
      <c r="J6" s="39"/>
      <c r="K6" s="39"/>
      <c r="N6" s="39" t="s">
        <v>193</v>
      </c>
      <c r="O6" s="39"/>
      <c r="P6" s="39"/>
      <c r="Q6" s="39"/>
      <c r="R6" s="39"/>
    </row>
    <row r="7" spans="1:18" x14ac:dyDescent="0.2">
      <c r="A7" s="52">
        <f ca="1">TODAY()</f>
        <v>46063</v>
      </c>
      <c r="G7" s="23">
        <f>DATEDIF("01/01/2020","09/02/2026","y")</f>
        <v>6</v>
      </c>
      <c r="N7" s="52">
        <f>WORKDAY("10/02/2026",5)</f>
        <v>46070</v>
      </c>
    </row>
    <row r="9" spans="1:18" ht="15.75" x14ac:dyDescent="0.25">
      <c r="A9" s="5" t="s">
        <v>183</v>
      </c>
      <c r="G9" s="5" t="s">
        <v>187</v>
      </c>
      <c r="N9" s="5" t="s">
        <v>191</v>
      </c>
    </row>
    <row r="10" spans="1:18" x14ac:dyDescent="0.2">
      <c r="A10" s="39" t="s">
        <v>201</v>
      </c>
      <c r="B10" s="39"/>
      <c r="C10" s="39"/>
      <c r="D10" s="39"/>
      <c r="G10" s="17" t="s">
        <v>196</v>
      </c>
      <c r="H10" s="17"/>
      <c r="I10" s="17"/>
      <c r="J10" s="17"/>
      <c r="K10" s="16"/>
      <c r="N10" s="39" t="s">
        <v>192</v>
      </c>
      <c r="O10" s="39"/>
      <c r="P10" s="39"/>
      <c r="Q10" s="39"/>
      <c r="R10" s="39"/>
    </row>
    <row r="11" spans="1:18" x14ac:dyDescent="0.2">
      <c r="A11" s="53">
        <f ca="1">NOW()</f>
        <v>46063.877461458331</v>
      </c>
      <c r="G11" s="23">
        <f>DAY("09/02/2026")</f>
        <v>9</v>
      </c>
      <c r="N11" s="23">
        <f>NETWORKDAYS("01/02/2026","10/02/2026")</f>
        <v>7</v>
      </c>
    </row>
    <row r="13" spans="1:18" ht="15.75" x14ac:dyDescent="0.25">
      <c r="A13" s="5" t="s">
        <v>184</v>
      </c>
      <c r="G13" s="5" t="s">
        <v>188</v>
      </c>
      <c r="N13" s="5" t="s">
        <v>297</v>
      </c>
    </row>
    <row r="14" spans="1:18" x14ac:dyDescent="0.2">
      <c r="A14" s="39" t="s">
        <v>199</v>
      </c>
      <c r="B14" s="39"/>
      <c r="C14" s="39"/>
      <c r="D14" s="39"/>
      <c r="G14" s="39" t="s">
        <v>195</v>
      </c>
      <c r="H14" s="39"/>
      <c r="I14" s="39"/>
      <c r="J14" s="39"/>
      <c r="K14" s="39"/>
      <c r="N14" s="39" t="s">
        <v>348</v>
      </c>
      <c r="O14" s="39"/>
      <c r="P14" s="39"/>
      <c r="Q14" s="39"/>
      <c r="R14" s="39"/>
    </row>
    <row r="15" spans="1:18" x14ac:dyDescent="0.2">
      <c r="A15" s="52">
        <f>DATE(2003,8,6)</f>
        <v>37839</v>
      </c>
      <c r="G15" s="23">
        <f>MONTH("09/02/2026")</f>
        <v>2</v>
      </c>
      <c r="N15" s="52">
        <f>EDATE("09/02/2026", 3)</f>
        <v>46151</v>
      </c>
    </row>
    <row r="17" spans="1:18" ht="15.75" x14ac:dyDescent="0.25">
      <c r="A17" s="5" t="s">
        <v>185</v>
      </c>
      <c r="G17" s="5" t="s">
        <v>189</v>
      </c>
      <c r="N17" s="5" t="s">
        <v>344</v>
      </c>
    </row>
    <row r="18" spans="1:18" x14ac:dyDescent="0.2">
      <c r="A18" s="39" t="s">
        <v>198</v>
      </c>
      <c r="B18" s="39"/>
      <c r="C18" s="39"/>
      <c r="D18" s="39"/>
      <c r="G18" s="39" t="s">
        <v>194</v>
      </c>
      <c r="H18" s="39"/>
      <c r="I18" s="39"/>
      <c r="J18" s="39"/>
      <c r="K18" s="39"/>
      <c r="N18" s="39" t="s">
        <v>345</v>
      </c>
      <c r="O18" s="39"/>
      <c r="P18" s="39"/>
      <c r="Q18" s="39"/>
      <c r="R18" s="39"/>
    </row>
    <row r="19" spans="1:18" x14ac:dyDescent="0.2">
      <c r="A19" s="52">
        <f>EOMONTH("09/02/2026",-1)</f>
        <v>46053</v>
      </c>
      <c r="G19" s="23">
        <f>YEAR("09/02/2026")</f>
        <v>2026</v>
      </c>
      <c r="N19" s="52">
        <f>DATEVALUE("9-Feb-2026")</f>
        <v>46062</v>
      </c>
    </row>
  </sheetData>
  <mergeCells count="13">
    <mergeCell ref="N2:R2"/>
    <mergeCell ref="N6:R6"/>
    <mergeCell ref="N10:R10"/>
    <mergeCell ref="G6:K6"/>
    <mergeCell ref="G14:K14"/>
    <mergeCell ref="G18:K18"/>
    <mergeCell ref="N14:R14"/>
    <mergeCell ref="N18:R18"/>
    <mergeCell ref="A2:D3"/>
    <mergeCell ref="A6:D6"/>
    <mergeCell ref="A10:D10"/>
    <mergeCell ref="A14:D14"/>
    <mergeCell ref="A18:D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selection activeCell="S13" sqref="S13"/>
    </sheetView>
  </sheetViews>
  <sheetFormatPr defaultRowHeight="14.25" x14ac:dyDescent="0.2"/>
  <cols>
    <col min="1" max="1" width="16.25" customWidth="1"/>
    <col min="4" max="4" width="10.75" customWidth="1"/>
    <col min="5" max="5" width="8.75" customWidth="1"/>
    <col min="6" max="6" width="1.75" customWidth="1"/>
    <col min="7" max="7" width="14.25" bestFit="1" customWidth="1"/>
    <col min="12" max="12" width="1.375" customWidth="1"/>
    <col min="18" max="18" width="2.125" customWidth="1"/>
    <col min="19" max="19" width="11.5" bestFit="1" customWidth="1"/>
  </cols>
  <sheetData>
    <row r="1" spans="1:23" ht="15" thickBot="1" x14ac:dyDescent="0.25"/>
    <row r="2" spans="1:23" ht="14.25" customHeight="1" x14ac:dyDescent="0.2">
      <c r="A2" s="27" t="s">
        <v>277</v>
      </c>
      <c r="B2" s="28"/>
      <c r="C2" s="28"/>
      <c r="D2" s="28"/>
      <c r="E2" s="28"/>
      <c r="F2" s="28"/>
      <c r="G2" s="29"/>
    </row>
    <row r="3" spans="1:23" ht="15" customHeight="1" thickBot="1" x14ac:dyDescent="0.25">
      <c r="A3" s="30"/>
      <c r="B3" s="31"/>
      <c r="C3" s="31"/>
      <c r="D3" s="31"/>
      <c r="E3" s="31"/>
      <c r="F3" s="31"/>
      <c r="G3" s="32"/>
    </row>
    <row r="5" spans="1:23" ht="15.75" x14ac:dyDescent="0.25">
      <c r="A5" s="5" t="s">
        <v>278</v>
      </c>
      <c r="G5" s="5" t="s">
        <v>282</v>
      </c>
      <c r="M5" s="5" t="s">
        <v>286</v>
      </c>
      <c r="S5" s="5" t="s">
        <v>291</v>
      </c>
    </row>
    <row r="6" spans="1:23" x14ac:dyDescent="0.2">
      <c r="A6" s="39"/>
      <c r="B6" s="39"/>
      <c r="C6" s="39"/>
      <c r="D6" s="39"/>
      <c r="E6" s="39"/>
      <c r="G6" s="39"/>
      <c r="H6" s="39"/>
      <c r="I6" s="39"/>
      <c r="J6" s="39"/>
      <c r="K6" s="39"/>
      <c r="M6" s="39"/>
      <c r="N6" s="39"/>
      <c r="O6" s="39"/>
      <c r="P6" s="39"/>
      <c r="Q6" s="39"/>
      <c r="S6" s="39"/>
      <c r="T6" s="39"/>
      <c r="U6" s="39"/>
      <c r="V6" s="39"/>
      <c r="W6" s="39"/>
    </row>
    <row r="7" spans="1:23" ht="15" x14ac:dyDescent="0.2">
      <c r="A7" s="25"/>
      <c r="G7" s="23"/>
      <c r="M7" s="23"/>
      <c r="S7" s="22"/>
    </row>
    <row r="9" spans="1:23" ht="15.75" x14ac:dyDescent="0.25">
      <c r="A9" s="5" t="s">
        <v>279</v>
      </c>
      <c r="G9" s="5" t="s">
        <v>283</v>
      </c>
      <c r="M9" s="5" t="s">
        <v>287</v>
      </c>
      <c r="S9" s="5" t="s">
        <v>290</v>
      </c>
    </row>
    <row r="10" spans="1:23" x14ac:dyDescent="0.2">
      <c r="A10" s="39"/>
      <c r="B10" s="39"/>
      <c r="C10" s="39"/>
      <c r="D10" s="39"/>
      <c r="E10" s="39"/>
      <c r="G10" s="39"/>
      <c r="H10" s="39"/>
      <c r="I10" s="39"/>
      <c r="J10" s="39"/>
      <c r="K10" s="39"/>
      <c r="M10" s="39"/>
      <c r="N10" s="39"/>
      <c r="O10" s="39"/>
      <c r="P10" s="39"/>
      <c r="Q10" s="39"/>
      <c r="S10" s="39"/>
      <c r="T10" s="39"/>
      <c r="U10" s="39"/>
      <c r="V10" s="39"/>
      <c r="W10" s="39"/>
    </row>
    <row r="11" spans="1:23" ht="15" x14ac:dyDescent="0.2">
      <c r="A11" s="25"/>
      <c r="G11" s="23"/>
      <c r="M11" s="23"/>
      <c r="S11" s="22"/>
    </row>
    <row r="13" spans="1:23" ht="15.75" x14ac:dyDescent="0.25">
      <c r="A13" s="5" t="s">
        <v>280</v>
      </c>
      <c r="G13" s="5" t="s">
        <v>284</v>
      </c>
      <c r="M13" s="5" t="s">
        <v>288</v>
      </c>
      <c r="S13" s="5"/>
    </row>
    <row r="14" spans="1:23" x14ac:dyDescent="0.2">
      <c r="A14" s="39"/>
      <c r="B14" s="39"/>
      <c r="C14" s="39"/>
      <c r="D14" s="39"/>
      <c r="E14" s="39"/>
      <c r="G14" s="39"/>
      <c r="H14" s="39"/>
      <c r="I14" s="39"/>
      <c r="J14" s="39"/>
      <c r="K14" s="39"/>
      <c r="M14" s="39"/>
      <c r="N14" s="39"/>
      <c r="O14" s="39"/>
      <c r="P14" s="39"/>
      <c r="Q14" s="39"/>
      <c r="S14" s="39"/>
      <c r="T14" s="39"/>
      <c r="U14" s="39"/>
      <c r="V14" s="39"/>
      <c r="W14" s="39"/>
    </row>
    <row r="15" spans="1:23" ht="15.75" x14ac:dyDescent="0.25">
      <c r="A15" s="25"/>
      <c r="G15" s="23"/>
      <c r="M15" s="23"/>
      <c r="S15" s="26"/>
    </row>
    <row r="17" spans="1:17" ht="15.75" x14ac:dyDescent="0.25">
      <c r="A17" s="5" t="s">
        <v>281</v>
      </c>
      <c r="G17" s="5" t="s">
        <v>285</v>
      </c>
      <c r="M17" s="5" t="s">
        <v>289</v>
      </c>
    </row>
    <row r="18" spans="1:17" x14ac:dyDescent="0.2">
      <c r="A18" s="39"/>
      <c r="B18" s="39"/>
      <c r="C18" s="39"/>
      <c r="D18" s="39"/>
      <c r="E18" s="39"/>
      <c r="G18" s="39"/>
      <c r="H18" s="39"/>
      <c r="I18" s="39"/>
      <c r="J18" s="39"/>
      <c r="K18" s="39"/>
      <c r="M18" s="39"/>
      <c r="N18" s="39"/>
      <c r="O18" s="39"/>
      <c r="P18" s="39"/>
      <c r="Q18" s="39"/>
    </row>
    <row r="19" spans="1:17" ht="15" x14ac:dyDescent="0.2">
      <c r="A19" s="25"/>
      <c r="G19" s="23"/>
      <c r="M19" s="23"/>
    </row>
  </sheetData>
  <mergeCells count="16">
    <mergeCell ref="A2:G3"/>
    <mergeCell ref="A6:E6"/>
    <mergeCell ref="A10:E10"/>
    <mergeCell ref="A14:E14"/>
    <mergeCell ref="S6:W6"/>
    <mergeCell ref="S10:W10"/>
    <mergeCell ref="S14:W14"/>
    <mergeCell ref="A18:E18"/>
    <mergeCell ref="G6:K6"/>
    <mergeCell ref="G10:K10"/>
    <mergeCell ref="G14:K14"/>
    <mergeCell ref="G18:K18"/>
    <mergeCell ref="M6:Q6"/>
    <mergeCell ref="M10:Q10"/>
    <mergeCell ref="M14:Q14"/>
    <mergeCell ref="M18:Q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>
      <selection activeCell="A7" sqref="A7"/>
    </sheetView>
  </sheetViews>
  <sheetFormatPr defaultRowHeight="14.25" x14ac:dyDescent="0.2"/>
  <cols>
    <col min="1" max="1" width="16.25" customWidth="1"/>
    <col min="4" max="4" width="10.75" customWidth="1"/>
    <col min="5" max="5" width="8.75" customWidth="1"/>
    <col min="6" max="6" width="2" customWidth="1"/>
    <col min="7" max="7" width="14.25" bestFit="1" customWidth="1"/>
    <col min="11" max="11" width="9" customWidth="1"/>
    <col min="12" max="12" width="1.625" customWidth="1"/>
    <col min="13" max="13" width="9.875" bestFit="1" customWidth="1"/>
    <col min="18" max="18" width="1.75" customWidth="1"/>
    <col min="19" max="19" width="11.5" bestFit="1" customWidth="1"/>
  </cols>
  <sheetData>
    <row r="1" spans="1:23" ht="15" thickBot="1" x14ac:dyDescent="0.25"/>
    <row r="2" spans="1:23" ht="14.25" customHeight="1" x14ac:dyDescent="0.2">
      <c r="A2" s="27" t="s">
        <v>277</v>
      </c>
      <c r="B2" s="28"/>
      <c r="C2" s="28"/>
      <c r="D2" s="28"/>
      <c r="E2" s="28"/>
      <c r="F2" s="28"/>
      <c r="G2" s="29"/>
    </row>
    <row r="3" spans="1:23" ht="15" customHeight="1" thickBot="1" x14ac:dyDescent="0.25">
      <c r="A3" s="30"/>
      <c r="B3" s="31"/>
      <c r="C3" s="31"/>
      <c r="D3" s="31"/>
      <c r="E3" s="31"/>
      <c r="F3" s="31"/>
      <c r="G3" s="32"/>
    </row>
    <row r="5" spans="1:23" ht="15.75" x14ac:dyDescent="0.25">
      <c r="A5" s="5" t="s">
        <v>307</v>
      </c>
      <c r="G5" s="5" t="s">
        <v>303</v>
      </c>
      <c r="M5" s="5" t="s">
        <v>308</v>
      </c>
      <c r="S5" s="5"/>
    </row>
    <row r="6" spans="1:23" x14ac:dyDescent="0.2">
      <c r="A6" s="39"/>
      <c r="B6" s="39"/>
      <c r="C6" s="39"/>
      <c r="D6" s="39"/>
      <c r="E6" s="39"/>
      <c r="G6" s="39"/>
      <c r="H6" s="39"/>
      <c r="I6" s="39"/>
      <c r="J6" s="39"/>
      <c r="K6" s="39"/>
      <c r="M6" s="39"/>
      <c r="N6" s="39"/>
      <c r="O6" s="39"/>
      <c r="P6" s="39"/>
      <c r="Q6" s="39"/>
      <c r="S6" s="39"/>
      <c r="T6" s="39"/>
      <c r="U6" s="39"/>
      <c r="V6" s="39"/>
      <c r="W6" s="39"/>
    </row>
    <row r="7" spans="1:23" ht="15" x14ac:dyDescent="0.2">
      <c r="A7" s="25"/>
      <c r="G7" s="23"/>
      <c r="M7" s="23"/>
      <c r="S7" s="22"/>
    </row>
    <row r="9" spans="1:23" ht="15.75" x14ac:dyDescent="0.25">
      <c r="A9" s="5" t="s">
        <v>300</v>
      </c>
      <c r="G9" s="5" t="s">
        <v>304</v>
      </c>
      <c r="M9" s="5" t="s">
        <v>309</v>
      </c>
      <c r="S9" s="5"/>
    </row>
    <row r="10" spans="1:23" x14ac:dyDescent="0.2">
      <c r="A10" s="39"/>
      <c r="B10" s="39"/>
      <c r="C10" s="39"/>
      <c r="D10" s="39"/>
      <c r="E10" s="39"/>
      <c r="G10" s="39"/>
      <c r="H10" s="39"/>
      <c r="I10" s="39"/>
      <c r="J10" s="39"/>
      <c r="K10" s="39"/>
      <c r="M10" s="39"/>
      <c r="N10" s="39"/>
      <c r="O10" s="39"/>
      <c r="P10" s="39"/>
      <c r="Q10" s="39"/>
      <c r="S10" s="39"/>
      <c r="T10" s="39"/>
      <c r="U10" s="39"/>
      <c r="V10" s="39"/>
      <c r="W10" s="39"/>
    </row>
    <row r="11" spans="1:23" ht="15" x14ac:dyDescent="0.2">
      <c r="A11" s="25"/>
      <c r="G11" s="23"/>
      <c r="M11" s="23"/>
      <c r="S11" s="22"/>
    </row>
    <row r="13" spans="1:23" ht="15.75" x14ac:dyDescent="0.25">
      <c r="A13" s="5" t="s">
        <v>301</v>
      </c>
      <c r="G13" s="5" t="s">
        <v>305</v>
      </c>
      <c r="M13" s="5" t="s">
        <v>310</v>
      </c>
      <c r="S13" s="5"/>
    </row>
    <row r="14" spans="1:23" x14ac:dyDescent="0.2">
      <c r="A14" s="39"/>
      <c r="B14" s="39"/>
      <c r="C14" s="39"/>
      <c r="D14" s="39"/>
      <c r="E14" s="39"/>
      <c r="G14" s="39"/>
      <c r="H14" s="39"/>
      <c r="I14" s="39"/>
      <c r="J14" s="39"/>
      <c r="K14" s="39"/>
      <c r="M14" s="39"/>
      <c r="N14" s="39"/>
      <c r="O14" s="39"/>
      <c r="P14" s="39"/>
      <c r="Q14" s="39"/>
      <c r="S14" s="39"/>
      <c r="T14" s="39"/>
      <c r="U14" s="39"/>
      <c r="V14" s="39"/>
      <c r="W14" s="39"/>
    </row>
    <row r="15" spans="1:23" ht="15.75" x14ac:dyDescent="0.25">
      <c r="A15" s="25"/>
      <c r="G15" s="23"/>
      <c r="M15" s="23"/>
      <c r="S15" s="26"/>
    </row>
    <row r="17" spans="1:17" ht="15.75" x14ac:dyDescent="0.25">
      <c r="A17" s="5" t="s">
        <v>302</v>
      </c>
      <c r="G17" s="5" t="s">
        <v>306</v>
      </c>
      <c r="M17" s="5" t="s">
        <v>311</v>
      </c>
    </row>
    <row r="18" spans="1:17" x14ac:dyDescent="0.2">
      <c r="A18" s="39"/>
      <c r="B18" s="39"/>
      <c r="C18" s="39"/>
      <c r="D18" s="39"/>
      <c r="E18" s="39"/>
      <c r="G18" s="39"/>
      <c r="H18" s="39"/>
      <c r="I18" s="39"/>
      <c r="J18" s="39"/>
      <c r="K18" s="39"/>
      <c r="M18" s="39"/>
      <c r="N18" s="39"/>
      <c r="O18" s="39"/>
      <c r="P18" s="39"/>
      <c r="Q18" s="39"/>
    </row>
    <row r="19" spans="1:17" ht="15" x14ac:dyDescent="0.2">
      <c r="A19" s="25"/>
      <c r="G19" s="23"/>
      <c r="M19" s="23"/>
    </row>
  </sheetData>
  <mergeCells count="16">
    <mergeCell ref="A10:E10"/>
    <mergeCell ref="G10:K10"/>
    <mergeCell ref="M10:Q10"/>
    <mergeCell ref="S10:W10"/>
    <mergeCell ref="A2:G3"/>
    <mergeCell ref="A6:E6"/>
    <mergeCell ref="G6:K6"/>
    <mergeCell ref="M6:Q6"/>
    <mergeCell ref="S6:W6"/>
    <mergeCell ref="A14:E14"/>
    <mergeCell ref="G14:K14"/>
    <mergeCell ref="M14:Q14"/>
    <mergeCell ref="S14:W14"/>
    <mergeCell ref="A18:E18"/>
    <mergeCell ref="G18:K18"/>
    <mergeCell ref="M18:Q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activeCell="U18" sqref="U18"/>
    </sheetView>
  </sheetViews>
  <sheetFormatPr defaultRowHeight="14.25" x14ac:dyDescent="0.2"/>
  <cols>
    <col min="6" max="6" width="4.25" customWidth="1"/>
    <col min="12" max="12" width="2.75" customWidth="1"/>
    <col min="18" max="18" width="2.25" customWidth="1"/>
  </cols>
  <sheetData>
    <row r="1" spans="1:22" ht="15" thickBot="1" x14ac:dyDescent="0.25"/>
    <row r="2" spans="1:22" x14ac:dyDescent="0.2">
      <c r="A2" s="27" t="s">
        <v>312</v>
      </c>
      <c r="B2" s="28"/>
      <c r="C2" s="28"/>
      <c r="D2" s="28"/>
      <c r="E2" s="28"/>
      <c r="F2" s="28"/>
      <c r="G2" s="29"/>
    </row>
    <row r="3" spans="1:22" ht="15" thickBot="1" x14ac:dyDescent="0.25">
      <c r="A3" s="30"/>
      <c r="B3" s="31"/>
      <c r="C3" s="31"/>
      <c r="D3" s="31"/>
      <c r="E3" s="31"/>
      <c r="F3" s="31"/>
      <c r="G3" s="32"/>
    </row>
    <row r="5" spans="1:22" ht="15.75" x14ac:dyDescent="0.25">
      <c r="A5" s="5" t="s">
        <v>313</v>
      </c>
      <c r="G5" s="5" t="s">
        <v>317</v>
      </c>
      <c r="M5" s="5" t="s">
        <v>320</v>
      </c>
      <c r="S5" s="5" t="s">
        <v>339</v>
      </c>
    </row>
    <row r="6" spans="1:22" x14ac:dyDescent="0.2">
      <c r="A6" s="16"/>
      <c r="B6" s="16"/>
      <c r="C6" s="16"/>
      <c r="D6" s="16"/>
      <c r="E6" s="16"/>
      <c r="G6" s="39"/>
      <c r="H6" s="39"/>
      <c r="I6" s="39"/>
      <c r="J6" s="39"/>
      <c r="K6" s="39"/>
      <c r="M6" s="39"/>
      <c r="N6" s="39"/>
      <c r="O6" s="39"/>
      <c r="P6" s="39"/>
      <c r="Q6" s="39"/>
      <c r="S6" s="39"/>
      <c r="T6" s="39"/>
      <c r="U6" s="39"/>
      <c r="V6" s="39"/>
    </row>
    <row r="7" spans="1:22" x14ac:dyDescent="0.2">
      <c r="A7" s="23"/>
      <c r="G7" s="23"/>
      <c r="M7" s="23"/>
      <c r="S7" s="23"/>
    </row>
    <row r="9" spans="1:22" ht="15.75" x14ac:dyDescent="0.25">
      <c r="A9" s="5" t="s">
        <v>314</v>
      </c>
      <c r="G9" s="5" t="s">
        <v>318</v>
      </c>
      <c r="M9" s="5" t="s">
        <v>321</v>
      </c>
      <c r="S9" s="5" t="s">
        <v>340</v>
      </c>
    </row>
    <row r="10" spans="1:22" x14ac:dyDescent="0.2">
      <c r="A10" s="39"/>
      <c r="B10" s="39"/>
      <c r="C10" s="39"/>
      <c r="D10" s="39"/>
      <c r="E10" s="39"/>
      <c r="G10" s="39"/>
      <c r="H10" s="39"/>
      <c r="I10" s="39"/>
      <c r="J10" s="39"/>
      <c r="K10" s="39"/>
      <c r="M10" s="39"/>
      <c r="N10" s="39"/>
      <c r="O10" s="39"/>
      <c r="P10" s="39"/>
      <c r="Q10" s="39"/>
      <c r="S10" s="39"/>
      <c r="T10" s="39"/>
      <c r="U10" s="39"/>
      <c r="V10" s="39"/>
    </row>
    <row r="11" spans="1:22" x14ac:dyDescent="0.2">
      <c r="A11" s="23"/>
      <c r="G11" s="23"/>
      <c r="M11" s="23"/>
      <c r="S11" s="23"/>
    </row>
    <row r="13" spans="1:22" ht="15.75" x14ac:dyDescent="0.25">
      <c r="A13" s="5" t="s">
        <v>315</v>
      </c>
      <c r="G13" s="5" t="s">
        <v>319</v>
      </c>
      <c r="M13" s="5" t="s">
        <v>337</v>
      </c>
      <c r="S13" s="5" t="s">
        <v>341</v>
      </c>
    </row>
    <row r="14" spans="1:22" x14ac:dyDescent="0.2">
      <c r="A14" s="39"/>
      <c r="B14" s="39"/>
      <c r="C14" s="39"/>
      <c r="D14" s="39"/>
      <c r="E14" s="39"/>
      <c r="G14" s="39"/>
      <c r="H14" s="39"/>
      <c r="I14" s="39"/>
      <c r="J14" s="39"/>
      <c r="K14" s="39"/>
      <c r="M14" s="39"/>
      <c r="N14" s="39"/>
      <c r="O14" s="39"/>
      <c r="P14" s="39"/>
      <c r="Q14" s="39"/>
      <c r="S14" s="39"/>
      <c r="T14" s="39"/>
      <c r="U14" s="39"/>
      <c r="V14" s="39"/>
    </row>
    <row r="15" spans="1:22" x14ac:dyDescent="0.2">
      <c r="A15" s="23"/>
      <c r="G15" s="23"/>
      <c r="M15" s="23"/>
      <c r="S15" s="23"/>
    </row>
    <row r="17" spans="1:17" ht="15.75" x14ac:dyDescent="0.25">
      <c r="A17" s="5" t="s">
        <v>316</v>
      </c>
      <c r="G17" s="5" t="s">
        <v>336</v>
      </c>
      <c r="M17" s="5" t="s">
        <v>338</v>
      </c>
    </row>
    <row r="18" spans="1:17" x14ac:dyDescent="0.2">
      <c r="A18" s="39"/>
      <c r="B18" s="39"/>
      <c r="C18" s="39"/>
      <c r="D18" s="39"/>
      <c r="E18" s="39"/>
      <c r="G18" s="39"/>
      <c r="H18" s="39"/>
      <c r="I18" s="39"/>
      <c r="J18" s="39"/>
      <c r="K18" s="39"/>
      <c r="M18" s="39"/>
      <c r="N18" s="39"/>
      <c r="O18" s="39"/>
      <c r="P18" s="39"/>
      <c r="Q18" s="39"/>
    </row>
    <row r="19" spans="1:17" x14ac:dyDescent="0.2">
      <c r="A19" s="23"/>
      <c r="G19" s="23"/>
      <c r="M19" s="23"/>
    </row>
  </sheetData>
  <mergeCells count="15">
    <mergeCell ref="A18:E18"/>
    <mergeCell ref="G6:K6"/>
    <mergeCell ref="G10:K10"/>
    <mergeCell ref="G14:K14"/>
    <mergeCell ref="S6:V6"/>
    <mergeCell ref="S10:V10"/>
    <mergeCell ref="S14:V14"/>
    <mergeCell ref="A2:G3"/>
    <mergeCell ref="A10:E10"/>
    <mergeCell ref="A14:E14"/>
    <mergeCell ref="M6:Q6"/>
    <mergeCell ref="M10:Q10"/>
    <mergeCell ref="G18:K18"/>
    <mergeCell ref="M14:Q14"/>
    <mergeCell ref="M18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 Data</vt:lpstr>
      <vt:lpstr>Cleaned Data</vt:lpstr>
      <vt:lpstr>Data Table</vt:lpstr>
      <vt:lpstr>Pivot Table</vt:lpstr>
      <vt:lpstr>LOOKUP Functions</vt:lpstr>
      <vt:lpstr>Logical Functions</vt:lpstr>
      <vt:lpstr>Text Functions</vt:lpstr>
      <vt:lpstr>Error Functions</vt:lpstr>
      <vt:lpstr>Date Functions</vt:lpstr>
      <vt:lpstr>Statis+Analy Functions (1)</vt:lpstr>
      <vt:lpstr>Statis+Analy Functions (2)</vt:lpstr>
      <vt:lpstr>Financial &amp; Accounts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2026-02-06T05:29:57Z</dcterms:created>
  <dcterms:modified xsi:type="dcterms:W3CDTF">2026-02-10T16:09:32Z</dcterms:modified>
</cp:coreProperties>
</file>