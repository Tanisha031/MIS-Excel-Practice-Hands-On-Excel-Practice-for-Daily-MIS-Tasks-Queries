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firstSheet="1" activeTab="5"/>
  </bookViews>
  <sheets>
    <sheet name="📋 COVER" sheetId="1" r:id="rId1"/>
    <sheet name="📊 Data Master" sheetId="2" r:id="rId2"/>
    <sheet name="🔍 INDEX-MATCH" sheetId="3" r:id="rId3"/>
    <sheet name="📈 Pivot Practice" sheetId="4" r:id="rId4"/>
    <sheet name="✍️ TEXTJOIN" sheetId="5" r:id="rId5"/>
    <sheet name="🏆 Challenge" sheetId="6" r:id="rId6"/>
  </sheets>
  <calcPr calcId="162913"/>
  <fileRecoveryPr repairLoad="1"/>
</workbook>
</file>

<file path=xl/calcChain.xml><?xml version="1.0" encoding="utf-8"?>
<calcChain xmlns="http://schemas.openxmlformats.org/spreadsheetml/2006/main">
  <c r="F18" i="6" l="1"/>
  <c r="F14" i="6"/>
  <c r="F13" i="6"/>
  <c r="F12" i="6"/>
  <c r="F8" i="6"/>
  <c r="F7" i="6"/>
  <c r="F6" i="6"/>
  <c r="B4" i="3"/>
  <c r="F20" i="6"/>
  <c r="G8" i="5"/>
  <c r="G7" i="5"/>
  <c r="G9" i="5"/>
  <c r="F19" i="6"/>
  <c r="G14" i="5"/>
  <c r="B5" i="5"/>
  <c r="G13" i="5"/>
</calcChain>
</file>

<file path=xl/sharedStrings.xml><?xml version="1.0" encoding="utf-8"?>
<sst xmlns="http://schemas.openxmlformats.org/spreadsheetml/2006/main" count="434" uniqueCount="265">
  <si>
    <t>EXCEL WEEK 4 – PRACTICE WORKBOOK</t>
  </si>
  <si>
    <t>INDEX-MATCH  |  Pivot Tables  |  TEXTJOIN  |  UNIQUE  |  FILTER</t>
  </si>
  <si>
    <t>#</t>
  </si>
  <si>
    <t>Sheet Name</t>
  </si>
  <si>
    <t>Topic</t>
  </si>
  <si>
    <t>Difficulty</t>
  </si>
  <si>
    <t>1</t>
  </si>
  <si>
    <t>📊 Data Master</t>
  </si>
  <si>
    <t>Raw Data (Employee + Sales)</t>
  </si>
  <si>
    <t>⭐</t>
  </si>
  <si>
    <t>2</t>
  </si>
  <si>
    <t>🔍 INDEX-MATCH</t>
  </si>
  <si>
    <t>Index-Match Practice</t>
  </si>
  <si>
    <t>⭐⭐</t>
  </si>
  <si>
    <t>3</t>
  </si>
  <si>
    <t>📈 Pivot Practice</t>
  </si>
  <si>
    <t>Pivot Table Source Data</t>
  </si>
  <si>
    <t>⭐⭐⭐</t>
  </si>
  <si>
    <t>4</t>
  </si>
  <si>
    <t>✍️ TEXTJOIN</t>
  </si>
  <si>
    <t>TEXTJOIN, UNIQUE, FILTER</t>
  </si>
  <si>
    <t>5</t>
  </si>
  <si>
    <t>🏆 Challenge</t>
  </si>
  <si>
    <t>Mega Boss Challenge</t>
  </si>
  <si>
    <t>⭐⭐⭐⭐</t>
  </si>
  <si>
    <t>💡 TIP: Formulas mein work karte waqt actual cell click karo – tab se move karo aur Enter se confirm karo!</t>
  </si>
  <si>
    <t>EMPLOYEE MASTER TABLE</t>
  </si>
  <si>
    <t>SALES TRANSACTION TABLE</t>
  </si>
  <si>
    <t>Emp ID</t>
  </si>
  <si>
    <t>Name</t>
  </si>
  <si>
    <t>Department</t>
  </si>
  <si>
    <t>City</t>
  </si>
  <si>
    <t>Salary</t>
  </si>
  <si>
    <t>Join Date</t>
  </si>
  <si>
    <t>Trans ID</t>
  </si>
  <si>
    <t>Product</t>
  </si>
  <si>
    <t>Quantity</t>
  </si>
  <si>
    <t>Unit Price</t>
  </si>
  <si>
    <t>Sale Date</t>
  </si>
  <si>
    <t>E001</t>
  </si>
  <si>
    <t>Ahmed Khan</t>
  </si>
  <si>
    <t>Sales</t>
  </si>
  <si>
    <t>Karachi</t>
  </si>
  <si>
    <t>2019-03-15</t>
  </si>
  <si>
    <t>T001</t>
  </si>
  <si>
    <t>Laptop</t>
  </si>
  <si>
    <t>2024-01-05</t>
  </si>
  <si>
    <t>E002</t>
  </si>
  <si>
    <t>Sara Ali</t>
  </si>
  <si>
    <t>HR</t>
  </si>
  <si>
    <t>Lahore</t>
  </si>
  <si>
    <t>2020-07-01</t>
  </si>
  <si>
    <t>T002</t>
  </si>
  <si>
    <t>E003</t>
  </si>
  <si>
    <t>Mouse</t>
  </si>
  <si>
    <t>2024-01-08</t>
  </si>
  <si>
    <t>Zain Ahmed</t>
  </si>
  <si>
    <t>IT</t>
  </si>
  <si>
    <t>2018-11-20</t>
  </si>
  <si>
    <t>T003</t>
  </si>
  <si>
    <t>Keyboard</t>
  </si>
  <si>
    <t>2024-01-10</t>
  </si>
  <si>
    <t>E004</t>
  </si>
  <si>
    <t>Nida Fatima</t>
  </si>
  <si>
    <t>Islamabad</t>
  </si>
  <si>
    <t>2021-02-10</t>
  </si>
  <si>
    <t>T004</t>
  </si>
  <si>
    <t>E007</t>
  </si>
  <si>
    <t>2024-01-12</t>
  </si>
  <si>
    <t>E005</t>
  </si>
  <si>
    <t>Bilal Raza</t>
  </si>
  <si>
    <t>Finance</t>
  </si>
  <si>
    <t>2017-06-05</t>
  </si>
  <si>
    <t>T005</t>
  </si>
  <si>
    <t>Monitor</t>
  </si>
  <si>
    <t>2024-01-15</t>
  </si>
  <si>
    <t>E006</t>
  </si>
  <si>
    <t>Hina Shah</t>
  </si>
  <si>
    <t>2016-09-30</t>
  </si>
  <si>
    <t>T006</t>
  </si>
  <si>
    <t>2024-02-02</t>
  </si>
  <si>
    <t>Omar Farooq</t>
  </si>
  <si>
    <t>2022-04-18</t>
  </si>
  <si>
    <t>T007</t>
  </si>
  <si>
    <t>2024-02-05</t>
  </si>
  <si>
    <t>E008</t>
  </si>
  <si>
    <t>Ayesha Malik</t>
  </si>
  <si>
    <t>2023-01-25</t>
  </si>
  <si>
    <t>T008</t>
  </si>
  <si>
    <t>E010</t>
  </si>
  <si>
    <t>2024-02-10</t>
  </si>
  <si>
    <t>E009</t>
  </si>
  <si>
    <t>Usman Tariq</t>
  </si>
  <si>
    <t>2019-08-12</t>
  </si>
  <si>
    <t>T009</t>
  </si>
  <si>
    <t>2024-02-14</t>
  </si>
  <si>
    <t>Mehwish Iqbal</t>
  </si>
  <si>
    <t>2020-12-01</t>
  </si>
  <si>
    <t>T010</t>
  </si>
  <si>
    <t>2024-02-20</t>
  </si>
  <si>
    <t>T011</t>
  </si>
  <si>
    <t>2024-03-01</t>
  </si>
  <si>
    <t>T012</t>
  </si>
  <si>
    <t>2024-03-05</t>
  </si>
  <si>
    <t>T013</t>
  </si>
  <si>
    <t>2024-03-10</t>
  </si>
  <si>
    <t>T014</t>
  </si>
  <si>
    <t>2024-03-15</t>
  </si>
  <si>
    <t>T015</t>
  </si>
  <si>
    <t>2024-03-20</t>
  </si>
  <si>
    <t>INDEX-MATCH – PRACTICE QUESTIONS</t>
  </si>
  <si>
    <t>📖  THEORY: INDEX-MATCH Kya Hai?</t>
  </si>
  <si>
    <t>SYNTAX:</t>
  </si>
  <si>
    <t>INDEX:</t>
  </si>
  <si>
    <t>Ek range se value return karta hai given row/col number pe</t>
  </si>
  <si>
    <t>MATCH:</t>
  </si>
  <si>
    <t>Ek range mein value dhoondh kar uski POSITION (number) return karta hai</t>
  </si>
  <si>
    <t>VS VLOOKUP:</t>
  </si>
  <si>
    <t>VLOOKUP sirf LEFT-to-RIGHT kaam karta hai | INDEX-MATCH kisi bhi direction mein!</t>
  </si>
  <si>
    <t xml:space="preserve">  Q1 (Basic) – Employee E005 ka naam nikaalein</t>
  </si>
  <si>
    <t>💡 Hint: Data Master sheet pe Emp ID = E005</t>
  </si>
  <si>
    <t>← Type your formula here</t>
  </si>
  <si>
    <t>✅ Answer: =INDEX('📊 Data Master'!B3:B12, MATCH("E005",'📊 Data Master'!A3:A12,0))</t>
  </si>
  <si>
    <t xml:space="preserve">  Q2 – Employee E007 ki salary nikaalein</t>
  </si>
  <si>
    <t>💡 Hint: Salary column = Column E in Data Master</t>
  </si>
  <si>
    <t>Salary:</t>
  </si>
  <si>
    <t>✅ Answer: =INDEX('📊 Data Master'!E3:E12, MATCH("E007",'📊 Data Master'!A3:A12,0))</t>
  </si>
  <si>
    <t xml:space="preserve">  Q3 (Reverse Lookup!) – Salary 72000 wale employee ka naam?</t>
  </si>
  <si>
    <t>💡 Hint: VLOOKUP yeh nahi kar sakta! INDEX-MATCH kar sakta hai.</t>
  </si>
  <si>
    <t>✅ Answer: =INDEX('📊 Data Master'!B3:B12, MATCH(72000,'📊 Data Master'!E3:E12,0))</t>
  </si>
  <si>
    <t xml:space="preserve">  Q4 (Cell Reference) – Neeche wale Input Box mein Emp ID likho → auto info aaye</t>
  </si>
  <si>
    <t>💡 Hint: Input cell = B30  |  Yeh LIVE LOOKUP hai!</t>
  </si>
  <si>
    <t>Name:</t>
  </si>
  <si>
    <t>✅ Answer: =IFERROR(INDEX('📊 Data Master'!B3:B12,MATCH(B30,'📊 Data Master'!A3:A12,0)),"ID Not Found")</t>
  </si>
  <si>
    <t>Dept:</t>
  </si>
  <si>
    <t>✅ Answer: =IFERROR(INDEX('📊 Data Master'!C3:C12,MATCH(B30,'📊 Data Master'!A3:A12,0)),"-")</t>
  </si>
  <si>
    <t>City:</t>
  </si>
  <si>
    <t>✅ Answer: =IFERROR(INDEX('📊 Data Master'!D3:D12,MATCH(B30,'📊 Data Master'!A3:A12,0)),"-")</t>
  </si>
  <si>
    <t xml:space="preserve">  Q5 (Two-Way Lookup! – BOSS LEVEL) – Row aur Column dono se lookup</t>
  </si>
  <si>
    <t>💡 Hint: Kisi bhi emp ki koi bhi info nikaalein – ek formula se!</t>
  </si>
  <si>
    <t>Result:</t>
  </si>
  <si>
    <t>✅ Answer: =INDEX('📊 Data Master'!A3:F12, MATCH("E003",'📊 Data Master'!A3:A12,0), MATCH("Salary",'📊 Data Master'!A2:F2,0))</t>
  </si>
  <si>
    <t>🔑 INPUT – Emp ID:</t>
  </si>
  <si>
    <t>PIVOT TABLE – SOURCE DATA &amp; GUIDE</t>
  </si>
  <si>
    <t>📖  PIVOT TABLE GUIDE – Step by Step</t>
  </si>
  <si>
    <t>Step 1:</t>
  </si>
  <si>
    <t>Is sheet ka data select karo (A5:H20)</t>
  </si>
  <si>
    <t>Step 2:</t>
  </si>
  <si>
    <t>INSERT tab → PivotTable → New Worksheet</t>
  </si>
  <si>
    <t>Step 3:</t>
  </si>
  <si>
    <t>Right side mein 'PivotTable Fields' panel aayega</t>
  </si>
  <si>
    <t>Step 4:</t>
  </si>
  <si>
    <t>Rows mein: Department  |  Values mein: Salary (Sum)</t>
  </si>
  <si>
    <t>Step 5:</t>
  </si>
  <si>
    <t>Filters mein: City  |  Columns mein: Gender</t>
  </si>
  <si>
    <t>💡 TIP:</t>
  </si>
  <si>
    <t>Values pe right-click → 'Summarize Values By' → Average/Count bhi try karo!</t>
  </si>
  <si>
    <t>📊  PRACTICE DATA – Yeh data use karo Pivot Table ke liye</t>
  </si>
  <si>
    <t>Gender</t>
  </si>
  <si>
    <t>Quarter</t>
  </si>
  <si>
    <t>Target</t>
  </si>
  <si>
    <t>Male</t>
  </si>
  <si>
    <t>Q1</t>
  </si>
  <si>
    <t>Female</t>
  </si>
  <si>
    <t>Q2</t>
  </si>
  <si>
    <t>Q3</t>
  </si>
  <si>
    <t>E011</t>
  </si>
  <si>
    <t>Ali Hassan</t>
  </si>
  <si>
    <t>E012</t>
  </si>
  <si>
    <t>Sana Javed</t>
  </si>
  <si>
    <t>E013</t>
  </si>
  <si>
    <t>Imran Butt</t>
  </si>
  <si>
    <t>E014</t>
  </si>
  <si>
    <t>Farah Naz</t>
  </si>
  <si>
    <t>E015</t>
  </si>
  <si>
    <t>Kamran Ali</t>
  </si>
  <si>
    <t>🎯  PIVOT TABLE TASKS – Yeh banao!</t>
  </si>
  <si>
    <t>Task</t>
  </si>
  <si>
    <t>What to Do</t>
  </si>
  <si>
    <t>Field Settings (Guide)</t>
  </si>
  <si>
    <t>Task 1</t>
  </si>
  <si>
    <t>Department wise Total Salary nikaalein</t>
  </si>
  <si>
    <t>Rows=Dept, Values=Sum of Salary</t>
  </si>
  <si>
    <t>Task 2</t>
  </si>
  <si>
    <t>City wise Average Salary</t>
  </si>
  <si>
    <t>Rows=City, Values=Average of Salary</t>
  </si>
  <si>
    <t>Task 3</t>
  </si>
  <si>
    <t>Gender wise count of employees</t>
  </si>
  <si>
    <t>Rows=Gender, Values=Count of Emp ID</t>
  </si>
  <si>
    <t>Task 4</t>
  </si>
  <si>
    <t>Department + City combined report</t>
  </si>
  <si>
    <t>Rows=Dept, Columns=City, Values=Count</t>
  </si>
  <si>
    <t>Task 5</t>
  </si>
  <si>
    <t>Quarter wise sales – sirf Sales dept dikhao</t>
  </si>
  <si>
    <t>Filters=Dept, Rows=Quarter, Values=Sum of Target</t>
  </si>
  <si>
    <t>TEXTJOIN  ·  UNIQUE  ·  FILTER  –  Practice (Excel 365)</t>
  </si>
  <si>
    <t>📌  TEXTJOIN – Multiple values ko ek cell mein join karo</t>
  </si>
  <si>
    <t>Example:</t>
  </si>
  <si>
    <t>Question</t>
  </si>
  <si>
    <t>Your Formula →</t>
  </si>
  <si>
    <t>Answer</t>
  </si>
  <si>
    <t>Q1 (Basic)</t>
  </si>
  <si>
    <t>A2:A6 ke saare names ek cell mein comma se join karo</t>
  </si>
  <si>
    <t>← Write here</t>
  </si>
  <si>
    <t>Q2 (Dept)</t>
  </si>
  <si>
    <t>Sales department ke sirf names join karo (manually select karo)</t>
  </si>
  <si>
    <t>Q3 (City)</t>
  </si>
  <si>
    <t>Karachi wale employees ke names – dash se join karo</t>
  </si>
  <si>
    <t>📌  UNIQUE – Duplicate remove karke unique values nikaalein</t>
  </si>
  <si>
    <t>SYNTAX: =UNIQUE(array)   →   Example: =UNIQUE(C2:C20)  gives unique dept names</t>
  </si>
  <si>
    <t>Q4</t>
  </si>
  <si>
    <t>Department column se unique departments nikaalein</t>
  </si>
  <si>
    <t>Q5</t>
  </si>
  <si>
    <t>Cities column se unique cities</t>
  </si>
  <si>
    <t>📌  FILTER – Condition ke basis pe rows filter karke nikaalein</t>
  </si>
  <si>
    <t>SYNTAX: =FILTER(array, condition)   →   Example: =FILTER(A2:E10, C2:C10="Sales")</t>
  </si>
  <si>
    <t>Q6</t>
  </si>
  <si>
    <t>Sirf 'Sales' department ke employees nikaalein</t>
  </si>
  <si>
    <t>Q7</t>
  </si>
  <si>
    <t>Salary &gt; 60000 wale employees</t>
  </si>
  <si>
    <t>Q8 (Advanced)</t>
  </si>
  <si>
    <t>IT dept + Karachi city – dono conditions</t>
  </si>
  <si>
    <t>🏆  MEGA BOSS CHALLENGE – Week 4 Final Test</t>
  </si>
  <si>
    <t>Scenario: Aap ek company ke MIS Executive ho. Neeche ke saare tasks complete karo!</t>
  </si>
  <si>
    <t xml:space="preserve">  CHALLENGE 1 – Employee Info Card (INDEX-MATCH)</t>
  </si>
  <si>
    <t>Sub-Task</t>
  </si>
  <si>
    <t>Task Description</t>
  </si>
  <si>
    <t>✅ Answer / Guide</t>
  </si>
  <si>
    <t>1a</t>
  </si>
  <si>
    <t>E006 ka naam nikaalein</t>
  </si>
  <si>
    <t>1b</t>
  </si>
  <si>
    <t>Salary 40000 wale employee ki city (reverse lookup)</t>
  </si>
  <si>
    <t>1c</t>
  </si>
  <si>
    <t>IT dept ka pehla employee ka salary</t>
  </si>
  <si>
    <t xml:space="preserve">  CHALLENGE 2 – Sales Analysis (SUMIFS + COUNTIFS)</t>
  </si>
  <si>
    <t>2a</t>
  </si>
  <si>
    <t>January mein E001 ki total sales amount (Qty × Price)</t>
  </si>
  <si>
    <t>2b</t>
  </si>
  <si>
    <t>Laptop ki total transactions count</t>
  </si>
  <si>
    <t>2c</t>
  </si>
  <si>
    <t>E001 ya E004 ne kitni Laptop transactions ki</t>
  </si>
  <si>
    <t xml:space="preserve">  CHALLENGE 3 – Smart Report (IFERROR + TEXTJOIN + UNIQUE)</t>
  </si>
  <si>
    <t>3a</t>
  </si>
  <si>
    <t>Emp ID E099 ko VLOOKUP karo – error ki jagah 'Employee Not Found' aaye</t>
  </si>
  <si>
    <t>3b</t>
  </si>
  <si>
    <t>Saare unique products ek cell mein join karo (comma se)</t>
  </si>
  <si>
    <t>3c</t>
  </si>
  <si>
    <t>Saare unique Emp IDs jo Sales mein hain</t>
  </si>
  <si>
    <t xml:space="preserve">  CHALLENGE 4 – PIVOT TABLE (Manual Task)</t>
  </si>
  <si>
    <t>4a</t>
  </si>
  <si>
    <t>Pivot Table banao: Pivot Practice sheet ka data use karo</t>
  </si>
  <si>
    <t>INSERT → PivotTable → New Sheet</t>
  </si>
  <si>
    <t>4b</t>
  </si>
  <si>
    <t>Department wise: Total Salary, Average Salary, Count of Employees</t>
  </si>
  <si>
    <t>Values mein 3 baar Salary add karo – Sum/Average/Count change karo</t>
  </si>
  <si>
    <t>4c</t>
  </si>
  <si>
    <t>Slicer add karo City ke liye – filter easily change ho</t>
  </si>
  <si>
    <t>PivotTable → PivotTable Analyze → Insert Slicer → City</t>
  </si>
  <si>
    <t>🎖️  SCORING GUIDE</t>
  </si>
  <si>
    <t>3/3 per challenge</t>
  </si>
  <si>
    <t>Excellent – MIS Executive ready! 🏆</t>
  </si>
  <si>
    <t>2/3 per challenge</t>
  </si>
  <si>
    <t>Good – thodi aur practice karo 💪</t>
  </si>
  <si>
    <t>1/3 per challenge</t>
  </si>
  <si>
    <t>Review Week 3-4 dobara karo 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</si>
</sst>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6" x14ac:knownFonts="1">
    <font>
      <sz val="11"/>
      <color theme="1"/>
      <name val="Arial"/>
      <family val="2"/>
      <scheme val="minor"/>
    </font>
    <font>
      <b/>
      <sz val="22"/>
      <color rgb="FFFFFFFF"/>
      <name val="Arial"/>
    </font>
    <font>
      <sz val="13"/>
      <color rgb="FFFFFFFF"/>
      <name val="Arial"/>
    </font>
    <font>
      <b/>
      <sz val="11"/>
      <color rgb="FFFFFFFF"/>
      <name val="Arial"/>
    </font>
    <font>
      <sz val="10"/>
      <color rgb="FF404040"/>
      <name val="Arial"/>
    </font>
    <font>
      <i/>
      <sz val="10"/>
      <color rgb="FF1F3864"/>
      <name val="Arial"/>
    </font>
    <font>
      <b/>
      <sz val="13"/>
      <color rgb="FFFFFFFF"/>
      <name val="Arial"/>
    </font>
    <font>
      <b/>
      <sz val="14"/>
      <color rgb="FFFFFFFF"/>
      <name val="Arial"/>
    </font>
    <font>
      <b/>
      <sz val="10"/>
      <color rgb="FF404040"/>
      <name val="Arial"/>
    </font>
    <font>
      <b/>
      <sz val="10"/>
      <color rgb="FFFFFFFF"/>
      <name val="Arial"/>
    </font>
    <font>
      <i/>
      <sz val="9"/>
      <color rgb="FF2E75B6"/>
      <name val="Arial"/>
    </font>
    <font>
      <sz val="9"/>
      <color rgb="FF404040"/>
      <name val="Arial"/>
    </font>
    <font>
      <b/>
      <sz val="11"/>
      <color rgb="FF1F3864"/>
      <name val="Arial"/>
    </font>
    <font>
      <b/>
      <sz val="16"/>
      <color rgb="FFFFFFFF"/>
      <name val="Arial"/>
    </font>
    <font>
      <i/>
      <sz val="11"/>
      <color rgb="FFFFFFFF"/>
      <name val="Arial"/>
    </font>
    <font>
      <sz val="8"/>
      <color rgb="FF40404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ABC9C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A2" zoomScale="154" zoomScaleNormal="154" workbookViewId="0">
      <selection activeCell="D7" sqref="D7"/>
    </sheetView>
  </sheetViews>
  <sheetFormatPr defaultRowHeight="14.25" x14ac:dyDescent="0.2"/>
  <cols>
    <col min="1" max="1" width="6" customWidth="1"/>
    <col min="2" max="2" width="22" customWidth="1"/>
    <col min="3" max="3" width="38" customWidth="1"/>
    <col min="4" max="4" width="14" customWidth="1"/>
    <col min="5" max="8" width="4" customWidth="1"/>
  </cols>
  <sheetData>
    <row r="1" spans="1:8" ht="54.95" customHeight="1" x14ac:dyDescent="0.2">
      <c r="A1" s="28" t="s">
        <v>0</v>
      </c>
      <c r="B1" s="26"/>
      <c r="C1" s="26"/>
      <c r="D1" s="26"/>
      <c r="E1" s="26"/>
      <c r="F1" s="26"/>
      <c r="G1" s="26"/>
      <c r="H1" s="26"/>
    </row>
    <row r="2" spans="1:8" ht="30" customHeight="1" x14ac:dyDescent="0.2">
      <c r="A2" s="27" t="s">
        <v>1</v>
      </c>
      <c r="B2" s="26"/>
      <c r="C2" s="26"/>
      <c r="D2" s="26"/>
      <c r="E2" s="26"/>
      <c r="F2" s="26"/>
      <c r="G2" s="26"/>
      <c r="H2" s="26"/>
    </row>
    <row r="4" spans="1:8" ht="15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8" x14ac:dyDescent="0.2">
      <c r="A5" s="2" t="s">
        <v>6</v>
      </c>
      <c r="B5" s="2" t="s">
        <v>7</v>
      </c>
      <c r="C5" s="3" t="s">
        <v>8</v>
      </c>
      <c r="D5" s="2" t="s">
        <v>9</v>
      </c>
    </row>
    <row r="6" spans="1:8" x14ac:dyDescent="0.2">
      <c r="A6" s="4" t="s">
        <v>10</v>
      </c>
      <c r="B6" s="4" t="s">
        <v>11</v>
      </c>
      <c r="C6" s="5" t="s">
        <v>12</v>
      </c>
      <c r="D6" s="4" t="s">
        <v>13</v>
      </c>
    </row>
    <row r="7" spans="1:8" x14ac:dyDescent="0.2">
      <c r="A7" s="2" t="s">
        <v>14</v>
      </c>
      <c r="B7" s="2" t="s">
        <v>15</v>
      </c>
      <c r="C7" s="3" t="s">
        <v>16</v>
      </c>
      <c r="D7" s="2" t="s">
        <v>17</v>
      </c>
    </row>
    <row r="8" spans="1:8" x14ac:dyDescent="0.2">
      <c r="A8" s="4" t="s">
        <v>18</v>
      </c>
      <c r="B8" s="4" t="s">
        <v>19</v>
      </c>
      <c r="C8" s="5" t="s">
        <v>20</v>
      </c>
      <c r="D8" s="4" t="s">
        <v>13</v>
      </c>
    </row>
    <row r="9" spans="1:8" x14ac:dyDescent="0.2">
      <c r="A9" s="2" t="s">
        <v>21</v>
      </c>
      <c r="B9" s="2" t="s">
        <v>22</v>
      </c>
      <c r="C9" s="3" t="s">
        <v>23</v>
      </c>
      <c r="D9" s="2" t="s">
        <v>24</v>
      </c>
    </row>
    <row r="11" spans="1:8" ht="24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workbookViewId="0">
      <selection sqref="A1:F1"/>
    </sheetView>
  </sheetViews>
  <sheetFormatPr defaultRowHeight="14.25" x14ac:dyDescent="0.2"/>
  <cols>
    <col min="1" max="1" width="10" customWidth="1"/>
    <col min="2" max="2" width="16" customWidth="1"/>
    <col min="3" max="3" width="14" customWidth="1"/>
    <col min="4" max="5" width="12" customWidth="1"/>
    <col min="6" max="6" width="14" customWidth="1"/>
    <col min="7" max="7" width="3" customWidth="1"/>
    <col min="8" max="9" width="10" customWidth="1"/>
    <col min="10" max="10" width="14" customWidth="1"/>
    <col min="11" max="11" width="10" customWidth="1"/>
    <col min="12" max="12" width="12" customWidth="1"/>
    <col min="13" max="13" width="14" customWidth="1"/>
  </cols>
  <sheetData>
    <row r="1" spans="1:13" ht="30" customHeight="1" x14ac:dyDescent="0.2">
      <c r="A1" s="29" t="s">
        <v>26</v>
      </c>
      <c r="B1" s="30"/>
      <c r="C1" s="30"/>
      <c r="D1" s="30"/>
      <c r="E1" s="30"/>
      <c r="F1" s="30"/>
      <c r="H1" s="29" t="s">
        <v>27</v>
      </c>
      <c r="I1" s="30"/>
      <c r="J1" s="30"/>
      <c r="K1" s="30"/>
      <c r="L1" s="30"/>
      <c r="M1" s="30"/>
    </row>
    <row r="2" spans="1:13" ht="21.95" customHeight="1" x14ac:dyDescent="0.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H2" s="7" t="s">
        <v>34</v>
      </c>
      <c r="I2" s="7" t="s">
        <v>28</v>
      </c>
      <c r="J2" s="7" t="s">
        <v>35</v>
      </c>
      <c r="K2" s="7" t="s">
        <v>36</v>
      </c>
      <c r="L2" s="7" t="s">
        <v>37</v>
      </c>
      <c r="M2" s="7" t="s">
        <v>38</v>
      </c>
    </row>
    <row r="3" spans="1:13" x14ac:dyDescent="0.2">
      <c r="A3" s="2" t="s">
        <v>39</v>
      </c>
      <c r="B3" s="3" t="s">
        <v>40</v>
      </c>
      <c r="C3" s="2" t="s">
        <v>41</v>
      </c>
      <c r="D3" s="2" t="s">
        <v>42</v>
      </c>
      <c r="E3" s="8">
        <v>55000</v>
      </c>
      <c r="F3" s="9" t="s">
        <v>43</v>
      </c>
      <c r="H3" s="2" t="s">
        <v>44</v>
      </c>
      <c r="I3" s="2" t="s">
        <v>39</v>
      </c>
      <c r="J3" s="3" t="s">
        <v>45</v>
      </c>
      <c r="K3" s="8">
        <v>2</v>
      </c>
      <c r="L3" s="9">
        <v>75000</v>
      </c>
      <c r="M3" s="3" t="s">
        <v>46</v>
      </c>
    </row>
    <row r="4" spans="1:13" x14ac:dyDescent="0.2">
      <c r="A4" s="4" t="s">
        <v>47</v>
      </c>
      <c r="B4" s="5" t="s">
        <v>48</v>
      </c>
      <c r="C4" s="4" t="s">
        <v>49</v>
      </c>
      <c r="D4" s="4" t="s">
        <v>50</v>
      </c>
      <c r="E4" s="10">
        <v>42000</v>
      </c>
      <c r="F4" s="11" t="s">
        <v>51</v>
      </c>
      <c r="H4" s="4" t="s">
        <v>52</v>
      </c>
      <c r="I4" s="4" t="s">
        <v>53</v>
      </c>
      <c r="J4" s="5" t="s">
        <v>54</v>
      </c>
      <c r="K4" s="10">
        <v>10</v>
      </c>
      <c r="L4" s="11">
        <v>500</v>
      </c>
      <c r="M4" s="5" t="s">
        <v>55</v>
      </c>
    </row>
    <row r="5" spans="1:13" x14ac:dyDescent="0.2">
      <c r="A5" s="2" t="s">
        <v>53</v>
      </c>
      <c r="B5" s="3" t="s">
        <v>56</v>
      </c>
      <c r="C5" s="2" t="s">
        <v>57</v>
      </c>
      <c r="D5" s="2" t="s">
        <v>42</v>
      </c>
      <c r="E5" s="8">
        <v>68000</v>
      </c>
      <c r="F5" s="9" t="s">
        <v>58</v>
      </c>
      <c r="H5" s="2" t="s">
        <v>59</v>
      </c>
      <c r="I5" s="2" t="s">
        <v>39</v>
      </c>
      <c r="J5" s="3" t="s">
        <v>60</v>
      </c>
      <c r="K5" s="8">
        <v>5</v>
      </c>
      <c r="L5" s="9">
        <v>1200</v>
      </c>
      <c r="M5" s="3" t="s">
        <v>61</v>
      </c>
    </row>
    <row r="6" spans="1:13" x14ac:dyDescent="0.2">
      <c r="A6" s="4" t="s">
        <v>62</v>
      </c>
      <c r="B6" s="5" t="s">
        <v>63</v>
      </c>
      <c r="C6" s="4" t="s">
        <v>41</v>
      </c>
      <c r="D6" s="4" t="s">
        <v>64</v>
      </c>
      <c r="E6" s="10">
        <v>50000</v>
      </c>
      <c r="F6" s="11" t="s">
        <v>65</v>
      </c>
      <c r="H6" s="4" t="s">
        <v>66</v>
      </c>
      <c r="I6" s="4" t="s">
        <v>67</v>
      </c>
      <c r="J6" s="5" t="s">
        <v>45</v>
      </c>
      <c r="K6" s="10">
        <v>1</v>
      </c>
      <c r="L6" s="11">
        <v>75000</v>
      </c>
      <c r="M6" s="5" t="s">
        <v>68</v>
      </c>
    </row>
    <row r="7" spans="1:13" x14ac:dyDescent="0.2">
      <c r="A7" s="2" t="s">
        <v>69</v>
      </c>
      <c r="B7" s="3" t="s">
        <v>70</v>
      </c>
      <c r="C7" s="2" t="s">
        <v>71</v>
      </c>
      <c r="D7" s="2" t="s">
        <v>42</v>
      </c>
      <c r="E7" s="8">
        <v>60000</v>
      </c>
      <c r="F7" s="9" t="s">
        <v>72</v>
      </c>
      <c r="H7" s="2" t="s">
        <v>73</v>
      </c>
      <c r="I7" s="2" t="s">
        <v>62</v>
      </c>
      <c r="J7" s="3" t="s">
        <v>74</v>
      </c>
      <c r="K7" s="8">
        <v>3</v>
      </c>
      <c r="L7" s="9">
        <v>18000</v>
      </c>
      <c r="M7" s="3" t="s">
        <v>75</v>
      </c>
    </row>
    <row r="8" spans="1:13" x14ac:dyDescent="0.2">
      <c r="A8" s="4" t="s">
        <v>76</v>
      </c>
      <c r="B8" s="5" t="s">
        <v>77</v>
      </c>
      <c r="C8" s="4" t="s">
        <v>57</v>
      </c>
      <c r="D8" s="4" t="s">
        <v>50</v>
      </c>
      <c r="E8" s="10">
        <v>72000</v>
      </c>
      <c r="F8" s="11" t="s">
        <v>78</v>
      </c>
      <c r="H8" s="4" t="s">
        <v>79</v>
      </c>
      <c r="I8" s="4" t="s">
        <v>53</v>
      </c>
      <c r="J8" s="5" t="s">
        <v>45</v>
      </c>
      <c r="K8" s="10">
        <v>2</v>
      </c>
      <c r="L8" s="11">
        <v>75000</v>
      </c>
      <c r="M8" s="5" t="s">
        <v>80</v>
      </c>
    </row>
    <row r="9" spans="1:13" x14ac:dyDescent="0.2">
      <c r="A9" s="2" t="s">
        <v>67</v>
      </c>
      <c r="B9" s="3" t="s">
        <v>81</v>
      </c>
      <c r="C9" s="2" t="s">
        <v>41</v>
      </c>
      <c r="D9" s="2" t="s">
        <v>42</v>
      </c>
      <c r="E9" s="8">
        <v>48000</v>
      </c>
      <c r="F9" s="9" t="s">
        <v>82</v>
      </c>
      <c r="H9" s="2" t="s">
        <v>83</v>
      </c>
      <c r="I9" s="2" t="s">
        <v>39</v>
      </c>
      <c r="J9" s="3" t="s">
        <v>54</v>
      </c>
      <c r="K9" s="8">
        <v>20</v>
      </c>
      <c r="L9" s="9">
        <v>500</v>
      </c>
      <c r="M9" s="3" t="s">
        <v>84</v>
      </c>
    </row>
    <row r="10" spans="1:13" x14ac:dyDescent="0.2">
      <c r="A10" s="4" t="s">
        <v>85</v>
      </c>
      <c r="B10" s="5" t="s">
        <v>86</v>
      </c>
      <c r="C10" s="4" t="s">
        <v>49</v>
      </c>
      <c r="D10" s="4" t="s">
        <v>64</v>
      </c>
      <c r="E10" s="10">
        <v>40000</v>
      </c>
      <c r="F10" s="11" t="s">
        <v>87</v>
      </c>
      <c r="H10" s="4" t="s">
        <v>88</v>
      </c>
      <c r="I10" s="4" t="s">
        <v>89</v>
      </c>
      <c r="J10" s="5" t="s">
        <v>60</v>
      </c>
      <c r="K10" s="10">
        <v>8</v>
      </c>
      <c r="L10" s="11">
        <v>1200</v>
      </c>
      <c r="M10" s="5" t="s">
        <v>90</v>
      </c>
    </row>
    <row r="11" spans="1:13" x14ac:dyDescent="0.2">
      <c r="A11" s="2" t="s">
        <v>91</v>
      </c>
      <c r="B11" s="3" t="s">
        <v>92</v>
      </c>
      <c r="C11" s="2" t="s">
        <v>71</v>
      </c>
      <c r="D11" s="2" t="s">
        <v>50</v>
      </c>
      <c r="E11" s="8">
        <v>65000</v>
      </c>
      <c r="F11" s="9" t="s">
        <v>93</v>
      </c>
      <c r="H11" s="2" t="s">
        <v>94</v>
      </c>
      <c r="I11" s="2" t="s">
        <v>67</v>
      </c>
      <c r="J11" s="3" t="s">
        <v>74</v>
      </c>
      <c r="K11" s="8">
        <v>2</v>
      </c>
      <c r="L11" s="9">
        <v>18000</v>
      </c>
      <c r="M11" s="3" t="s">
        <v>95</v>
      </c>
    </row>
    <row r="12" spans="1:13" x14ac:dyDescent="0.2">
      <c r="A12" s="4" t="s">
        <v>89</v>
      </c>
      <c r="B12" s="5" t="s">
        <v>96</v>
      </c>
      <c r="C12" s="4" t="s">
        <v>57</v>
      </c>
      <c r="D12" s="4" t="s">
        <v>42</v>
      </c>
      <c r="E12" s="10">
        <v>70000</v>
      </c>
      <c r="F12" s="11" t="s">
        <v>97</v>
      </c>
      <c r="H12" s="4" t="s">
        <v>98</v>
      </c>
      <c r="I12" s="4" t="s">
        <v>62</v>
      </c>
      <c r="J12" s="5" t="s">
        <v>45</v>
      </c>
      <c r="K12" s="10">
        <v>3</v>
      </c>
      <c r="L12" s="11">
        <v>75000</v>
      </c>
      <c r="M12" s="5" t="s">
        <v>99</v>
      </c>
    </row>
    <row r="13" spans="1:13" x14ac:dyDescent="0.2">
      <c r="H13" s="2" t="s">
        <v>100</v>
      </c>
      <c r="I13" s="2" t="s">
        <v>39</v>
      </c>
      <c r="J13" s="3" t="s">
        <v>74</v>
      </c>
      <c r="K13" s="8">
        <v>1</v>
      </c>
      <c r="L13" s="9">
        <v>18000</v>
      </c>
      <c r="M13" s="3" t="s">
        <v>101</v>
      </c>
    </row>
    <row r="14" spans="1:13" x14ac:dyDescent="0.2">
      <c r="H14" s="4" t="s">
        <v>102</v>
      </c>
      <c r="I14" s="4" t="s">
        <v>53</v>
      </c>
      <c r="J14" s="5" t="s">
        <v>54</v>
      </c>
      <c r="K14" s="10">
        <v>15</v>
      </c>
      <c r="L14" s="11">
        <v>500</v>
      </c>
      <c r="M14" s="5" t="s">
        <v>103</v>
      </c>
    </row>
    <row r="15" spans="1:13" x14ac:dyDescent="0.2">
      <c r="H15" s="2" t="s">
        <v>104</v>
      </c>
      <c r="I15" s="2" t="s">
        <v>89</v>
      </c>
      <c r="J15" s="3" t="s">
        <v>45</v>
      </c>
      <c r="K15" s="8">
        <v>2</v>
      </c>
      <c r="L15" s="9">
        <v>75000</v>
      </c>
      <c r="M15" s="3" t="s">
        <v>105</v>
      </c>
    </row>
    <row r="16" spans="1:13" x14ac:dyDescent="0.2">
      <c r="H16" s="4" t="s">
        <v>106</v>
      </c>
      <c r="I16" s="4" t="s">
        <v>67</v>
      </c>
      <c r="J16" s="5" t="s">
        <v>60</v>
      </c>
      <c r="K16" s="10">
        <v>6</v>
      </c>
      <c r="L16" s="11">
        <v>1200</v>
      </c>
      <c r="M16" s="5" t="s">
        <v>107</v>
      </c>
    </row>
    <row r="17" spans="8:13" x14ac:dyDescent="0.2">
      <c r="H17" s="2" t="s">
        <v>108</v>
      </c>
      <c r="I17" s="2" t="s">
        <v>62</v>
      </c>
      <c r="J17" s="3" t="s">
        <v>74</v>
      </c>
      <c r="K17" s="8">
        <v>4</v>
      </c>
      <c r="L17" s="9">
        <v>18000</v>
      </c>
      <c r="M17" s="3" t="s">
        <v>109</v>
      </c>
    </row>
  </sheetData>
  <mergeCells count="2">
    <mergeCell ref="H1:M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opLeftCell="A12" workbookViewId="0">
      <selection activeCell="A19" sqref="A19"/>
    </sheetView>
  </sheetViews>
  <sheetFormatPr defaultRowHeight="14.25" x14ac:dyDescent="0.2"/>
  <cols>
    <col min="1" max="1" width="16" customWidth="1"/>
    <col min="2" max="8" width="12" customWidth="1"/>
    <col min="9" max="9" width="20" customWidth="1"/>
  </cols>
  <sheetData>
    <row r="1" spans="1:9" ht="35.1" customHeight="1" x14ac:dyDescent="0.2">
      <c r="A1" s="39" t="s">
        <v>110</v>
      </c>
      <c r="B1" s="26"/>
      <c r="C1" s="26"/>
      <c r="D1" s="26"/>
      <c r="E1" s="26"/>
      <c r="F1" s="26"/>
      <c r="G1" s="26"/>
      <c r="H1" s="26"/>
      <c r="I1" s="26"/>
    </row>
    <row r="3" spans="1:9" x14ac:dyDescent="0.2">
      <c r="A3" s="35" t="s">
        <v>111</v>
      </c>
      <c r="B3" s="30"/>
      <c r="C3" s="30"/>
      <c r="D3" s="30"/>
      <c r="E3" s="30"/>
      <c r="F3" s="30"/>
      <c r="G3" s="30"/>
      <c r="H3" s="30"/>
      <c r="I3" s="30"/>
    </row>
    <row r="4" spans="1:9" x14ac:dyDescent="0.2">
      <c r="A4" s="12" t="s">
        <v>112</v>
      </c>
      <c r="B4" s="33" t="e">
        <f>INDEX(return_column, MATCH(lookup_value, lookup_column, 0))</f>
        <v>#NAME?</v>
      </c>
      <c r="C4" s="30"/>
      <c r="D4" s="30"/>
      <c r="E4" s="30"/>
      <c r="F4" s="30"/>
      <c r="G4" s="30"/>
      <c r="H4" s="30"/>
      <c r="I4" s="30"/>
    </row>
    <row r="5" spans="1:9" x14ac:dyDescent="0.2">
      <c r="A5" s="12" t="s">
        <v>113</v>
      </c>
      <c r="B5" s="33" t="s">
        <v>114</v>
      </c>
      <c r="C5" s="30"/>
      <c r="D5" s="30"/>
      <c r="E5" s="30"/>
      <c r="F5" s="30"/>
      <c r="G5" s="30"/>
      <c r="H5" s="30"/>
      <c r="I5" s="30"/>
    </row>
    <row r="6" spans="1:9" x14ac:dyDescent="0.2">
      <c r="A6" s="12" t="s">
        <v>115</v>
      </c>
      <c r="B6" s="33" t="s">
        <v>116</v>
      </c>
      <c r="C6" s="30"/>
      <c r="D6" s="30"/>
      <c r="E6" s="30"/>
      <c r="F6" s="30"/>
      <c r="G6" s="30"/>
      <c r="H6" s="30"/>
      <c r="I6" s="30"/>
    </row>
    <row r="7" spans="1:9" x14ac:dyDescent="0.2">
      <c r="A7" s="12" t="s">
        <v>117</v>
      </c>
      <c r="B7" s="33" t="s">
        <v>118</v>
      </c>
      <c r="C7" s="30"/>
      <c r="D7" s="30"/>
      <c r="E7" s="30"/>
      <c r="F7" s="30"/>
      <c r="G7" s="30"/>
      <c r="H7" s="30"/>
      <c r="I7" s="30"/>
    </row>
    <row r="8" spans="1:9" x14ac:dyDescent="0.2">
      <c r="A8" s="6"/>
      <c r="B8" s="6"/>
      <c r="C8" s="6"/>
      <c r="D8" s="6"/>
      <c r="E8" s="6"/>
      <c r="F8" s="6"/>
      <c r="G8" s="6"/>
      <c r="H8" s="6"/>
      <c r="I8" s="6"/>
    </row>
    <row r="9" spans="1:9" ht="21.95" customHeight="1" x14ac:dyDescent="0.2">
      <c r="A9" s="31" t="s">
        <v>119</v>
      </c>
      <c r="B9" s="30"/>
      <c r="C9" s="30"/>
      <c r="D9" s="30"/>
      <c r="E9" s="30"/>
      <c r="F9" s="30"/>
      <c r="G9" s="30"/>
      <c r="H9" s="30"/>
      <c r="I9" s="13" t="s">
        <v>9</v>
      </c>
    </row>
    <row r="10" spans="1:9" ht="18" customHeight="1" x14ac:dyDescent="0.2">
      <c r="A10" s="34" t="s">
        <v>120</v>
      </c>
      <c r="B10" s="30"/>
      <c r="C10" s="30"/>
      <c r="D10" s="30"/>
      <c r="E10" s="30"/>
      <c r="F10" s="30"/>
      <c r="G10" s="30"/>
      <c r="H10" s="30"/>
      <c r="I10" s="30"/>
    </row>
    <row r="11" spans="1:9" x14ac:dyDescent="0.2">
      <c r="A11" s="14" t="s">
        <v>29</v>
      </c>
      <c r="B11" s="32" t="s">
        <v>121</v>
      </c>
      <c r="C11" s="30"/>
      <c r="D11" s="30"/>
      <c r="E11" s="36" t="s">
        <v>122</v>
      </c>
      <c r="F11" s="30"/>
      <c r="G11" s="30"/>
      <c r="H11" s="30"/>
      <c r="I11" s="30"/>
    </row>
    <row r="12" spans="1:9" x14ac:dyDescent="0.2">
      <c r="A12" s="6"/>
      <c r="B12" s="6"/>
      <c r="C12" s="6"/>
      <c r="D12" s="6"/>
      <c r="E12" s="6"/>
      <c r="F12" s="6"/>
      <c r="G12" s="6"/>
      <c r="H12" s="6"/>
      <c r="I12" s="6"/>
    </row>
    <row r="13" spans="1:9" ht="21.95" customHeight="1" x14ac:dyDescent="0.2">
      <c r="A13" s="37" t="s">
        <v>123</v>
      </c>
      <c r="B13" s="30"/>
      <c r="C13" s="30"/>
      <c r="D13" s="30"/>
      <c r="E13" s="30"/>
      <c r="F13" s="30"/>
      <c r="G13" s="30"/>
      <c r="H13" s="30"/>
      <c r="I13" s="13" t="s">
        <v>9</v>
      </c>
    </row>
    <row r="14" spans="1:9" ht="18" customHeight="1" x14ac:dyDescent="0.2">
      <c r="A14" s="34" t="s">
        <v>124</v>
      </c>
      <c r="B14" s="30"/>
      <c r="C14" s="30"/>
      <c r="D14" s="30"/>
      <c r="E14" s="30"/>
      <c r="F14" s="30"/>
      <c r="G14" s="30"/>
      <c r="H14" s="30"/>
      <c r="I14" s="30"/>
    </row>
    <row r="15" spans="1:9" x14ac:dyDescent="0.2">
      <c r="A15" s="14" t="s">
        <v>125</v>
      </c>
      <c r="B15" s="32" t="s">
        <v>121</v>
      </c>
      <c r="C15" s="30"/>
      <c r="D15" s="30"/>
      <c r="E15" s="36" t="s">
        <v>126</v>
      </c>
      <c r="F15" s="30"/>
      <c r="G15" s="30"/>
      <c r="H15" s="30"/>
      <c r="I15" s="30"/>
    </row>
    <row r="16" spans="1:9" x14ac:dyDescent="0.2">
      <c r="A16" s="6"/>
      <c r="B16" s="6"/>
      <c r="C16" s="6"/>
      <c r="D16" s="6"/>
      <c r="E16" s="6"/>
      <c r="F16" s="6"/>
      <c r="G16" s="6"/>
      <c r="H16" s="6"/>
      <c r="I16" s="6"/>
    </row>
    <row r="17" spans="1:9" ht="21.95" customHeight="1" x14ac:dyDescent="0.2">
      <c r="A17" s="31" t="s">
        <v>127</v>
      </c>
      <c r="B17" s="30"/>
      <c r="C17" s="30"/>
      <c r="D17" s="30"/>
      <c r="E17" s="30"/>
      <c r="F17" s="30"/>
      <c r="G17" s="30"/>
      <c r="H17" s="30"/>
      <c r="I17" s="13" t="s">
        <v>13</v>
      </c>
    </row>
    <row r="18" spans="1:9" ht="18" customHeight="1" x14ac:dyDescent="0.2">
      <c r="A18" s="34" t="s">
        <v>128</v>
      </c>
      <c r="B18" s="30"/>
      <c r="C18" s="30"/>
      <c r="D18" s="30"/>
      <c r="E18" s="30"/>
      <c r="F18" s="30"/>
      <c r="G18" s="30"/>
      <c r="H18" s="30"/>
      <c r="I18" s="30"/>
    </row>
    <row r="19" spans="1:9" x14ac:dyDescent="0.2">
      <c r="A19" s="14" t="s">
        <v>132</v>
      </c>
      <c r="B19" s="32" t="s">
        <v>121</v>
      </c>
      <c r="C19" s="30"/>
      <c r="D19" s="30"/>
      <c r="E19" s="36" t="s">
        <v>129</v>
      </c>
      <c r="F19" s="30"/>
      <c r="G19" s="30"/>
      <c r="H19" s="30"/>
      <c r="I19" s="30"/>
    </row>
    <row r="20" spans="1:9" x14ac:dyDescent="0.2">
      <c r="A20" s="6"/>
      <c r="B20" s="6"/>
      <c r="C20" s="6"/>
      <c r="D20" s="6"/>
      <c r="E20" s="6"/>
      <c r="F20" s="6"/>
      <c r="G20" s="6"/>
      <c r="H20" s="6"/>
      <c r="I20" s="6"/>
    </row>
    <row r="21" spans="1:9" ht="21.95" customHeight="1" x14ac:dyDescent="0.2">
      <c r="A21" s="37" t="s">
        <v>130</v>
      </c>
      <c r="B21" s="30"/>
      <c r="C21" s="30"/>
      <c r="D21" s="30"/>
      <c r="E21" s="30"/>
      <c r="F21" s="30"/>
      <c r="G21" s="30"/>
      <c r="H21" s="30"/>
      <c r="I21" s="13" t="s">
        <v>17</v>
      </c>
    </row>
    <row r="22" spans="1:9" ht="18" customHeight="1" x14ac:dyDescent="0.2">
      <c r="A22" s="34" t="s">
        <v>131</v>
      </c>
      <c r="B22" s="30"/>
      <c r="C22" s="30"/>
      <c r="D22" s="30"/>
      <c r="E22" s="30"/>
      <c r="F22" s="30"/>
      <c r="G22" s="30"/>
      <c r="H22" s="30"/>
      <c r="I22" s="30"/>
    </row>
    <row r="23" spans="1:9" x14ac:dyDescent="0.2">
      <c r="A23" s="14" t="s">
        <v>132</v>
      </c>
      <c r="B23" s="32" t="s">
        <v>121</v>
      </c>
      <c r="C23" s="30"/>
      <c r="D23" s="30"/>
      <c r="E23" s="30"/>
      <c r="F23" s="36" t="s">
        <v>133</v>
      </c>
      <c r="G23" s="30"/>
      <c r="H23" s="30"/>
      <c r="I23" s="30"/>
    </row>
    <row r="24" spans="1:9" x14ac:dyDescent="0.2">
      <c r="A24" s="14" t="s">
        <v>134</v>
      </c>
      <c r="B24" s="32" t="s">
        <v>121</v>
      </c>
      <c r="C24" s="30"/>
      <c r="D24" s="30"/>
      <c r="E24" s="30"/>
      <c r="F24" s="36" t="s">
        <v>135</v>
      </c>
      <c r="G24" s="30"/>
      <c r="H24" s="30"/>
      <c r="I24" s="30"/>
    </row>
    <row r="25" spans="1:9" x14ac:dyDescent="0.2">
      <c r="A25" s="14" t="s">
        <v>136</v>
      </c>
      <c r="B25" s="32" t="s">
        <v>121</v>
      </c>
      <c r="C25" s="30"/>
      <c r="D25" s="30"/>
      <c r="E25" s="30"/>
      <c r="F25" s="36" t="s">
        <v>137</v>
      </c>
      <c r="G25" s="30"/>
      <c r="H25" s="30"/>
      <c r="I25" s="30"/>
    </row>
    <row r="26" spans="1:9" x14ac:dyDescent="0.2">
      <c r="A26" s="6"/>
      <c r="B26" s="6"/>
      <c r="C26" s="6"/>
      <c r="D26" s="6"/>
      <c r="E26" s="6"/>
      <c r="F26" s="6"/>
      <c r="G26" s="6"/>
      <c r="H26" s="6"/>
      <c r="I26" s="6"/>
    </row>
    <row r="27" spans="1:9" ht="21.95" customHeight="1" x14ac:dyDescent="0.2">
      <c r="A27" s="31" t="s">
        <v>138</v>
      </c>
      <c r="B27" s="30"/>
      <c r="C27" s="30"/>
      <c r="D27" s="30"/>
      <c r="E27" s="30"/>
      <c r="F27" s="30"/>
      <c r="G27" s="30"/>
      <c r="H27" s="30"/>
      <c r="I27" s="13" t="s">
        <v>24</v>
      </c>
    </row>
    <row r="28" spans="1:9" ht="18" customHeight="1" x14ac:dyDescent="0.2">
      <c r="A28" s="34" t="s">
        <v>139</v>
      </c>
      <c r="B28" s="30"/>
      <c r="C28" s="30"/>
      <c r="D28" s="30"/>
      <c r="E28" s="30"/>
      <c r="F28" s="30"/>
      <c r="G28" s="30"/>
      <c r="H28" s="30"/>
      <c r="I28" s="30"/>
    </row>
    <row r="29" spans="1:9" x14ac:dyDescent="0.2">
      <c r="A29" s="14" t="s">
        <v>140</v>
      </c>
      <c r="B29" s="32" t="s">
        <v>121</v>
      </c>
      <c r="C29" s="30"/>
      <c r="D29" s="30"/>
      <c r="E29" s="36" t="s">
        <v>141</v>
      </c>
      <c r="F29" s="30"/>
      <c r="G29" s="30"/>
      <c r="H29" s="30"/>
      <c r="I29" s="30"/>
    </row>
    <row r="30" spans="1:9" ht="15" x14ac:dyDescent="0.25">
      <c r="A30" s="15" t="s">
        <v>142</v>
      </c>
      <c r="B30" s="38" t="s">
        <v>39</v>
      </c>
      <c r="C30" s="30"/>
      <c r="D30" s="6"/>
      <c r="E30" s="6"/>
      <c r="F30" s="6"/>
      <c r="G30" s="6"/>
      <c r="H30" s="6"/>
      <c r="I30" s="6"/>
    </row>
  </sheetData>
  <mergeCells count="31">
    <mergeCell ref="B23:E23"/>
    <mergeCell ref="B30:C30"/>
    <mergeCell ref="B6:I6"/>
    <mergeCell ref="A1:I1"/>
    <mergeCell ref="B5:I5"/>
    <mergeCell ref="A13:H13"/>
    <mergeCell ref="F23:I23"/>
    <mergeCell ref="B4:I4"/>
    <mergeCell ref="B24:E24"/>
    <mergeCell ref="B29:D29"/>
    <mergeCell ref="B19:D19"/>
    <mergeCell ref="E29:I29"/>
    <mergeCell ref="A14:I14"/>
    <mergeCell ref="E19:I19"/>
    <mergeCell ref="B25:E25"/>
    <mergeCell ref="A22:I22"/>
    <mergeCell ref="B15:D15"/>
    <mergeCell ref="F25:I25"/>
    <mergeCell ref="A27:H27"/>
    <mergeCell ref="A21:H21"/>
    <mergeCell ref="E15:I15"/>
    <mergeCell ref="A28:I28"/>
    <mergeCell ref="F24:I24"/>
    <mergeCell ref="A17:H17"/>
    <mergeCell ref="A9:H9"/>
    <mergeCell ref="B11:D11"/>
    <mergeCell ref="B7:I7"/>
    <mergeCell ref="A18:I18"/>
    <mergeCell ref="A3:I3"/>
    <mergeCell ref="A10:I10"/>
    <mergeCell ref="E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opLeftCell="A15" workbookViewId="0">
      <selection sqref="A1:H1"/>
    </sheetView>
  </sheetViews>
  <sheetFormatPr defaultRowHeight="14.25" x14ac:dyDescent="0.2"/>
  <cols>
    <col min="1" max="1" width="10" customWidth="1"/>
    <col min="2" max="2" width="16" customWidth="1"/>
    <col min="3" max="3" width="14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</cols>
  <sheetData>
    <row r="1" spans="1:8" ht="35.1" customHeight="1" x14ac:dyDescent="0.2">
      <c r="A1" s="39" t="s">
        <v>143</v>
      </c>
      <c r="B1" s="26"/>
      <c r="C1" s="26"/>
      <c r="D1" s="26"/>
      <c r="E1" s="26"/>
      <c r="F1" s="26"/>
      <c r="G1" s="26"/>
      <c r="H1" s="26"/>
    </row>
    <row r="3" spans="1:8" x14ac:dyDescent="0.2">
      <c r="A3" s="35" t="s">
        <v>144</v>
      </c>
      <c r="B3" s="30"/>
      <c r="C3" s="30"/>
      <c r="D3" s="30"/>
      <c r="E3" s="30"/>
      <c r="F3" s="30"/>
      <c r="G3" s="30"/>
      <c r="H3" s="30"/>
    </row>
    <row r="4" spans="1:8" ht="18" customHeight="1" x14ac:dyDescent="0.2">
      <c r="A4" s="16" t="s">
        <v>145</v>
      </c>
      <c r="B4" s="33" t="s">
        <v>146</v>
      </c>
      <c r="C4" s="30"/>
      <c r="D4" s="30"/>
      <c r="E4" s="30"/>
      <c r="F4" s="30"/>
      <c r="G4" s="30"/>
      <c r="H4" s="30"/>
    </row>
    <row r="5" spans="1:8" ht="18" customHeight="1" x14ac:dyDescent="0.2">
      <c r="A5" s="16" t="s">
        <v>147</v>
      </c>
      <c r="B5" s="33" t="s">
        <v>148</v>
      </c>
      <c r="C5" s="30"/>
      <c r="D5" s="30"/>
      <c r="E5" s="30"/>
      <c r="F5" s="30"/>
      <c r="G5" s="30"/>
      <c r="H5" s="30"/>
    </row>
    <row r="6" spans="1:8" ht="18" customHeight="1" x14ac:dyDescent="0.2">
      <c r="A6" s="16" t="s">
        <v>149</v>
      </c>
      <c r="B6" s="33" t="s">
        <v>150</v>
      </c>
      <c r="C6" s="30"/>
      <c r="D6" s="30"/>
      <c r="E6" s="30"/>
      <c r="F6" s="30"/>
      <c r="G6" s="30"/>
      <c r="H6" s="30"/>
    </row>
    <row r="7" spans="1:8" ht="18" customHeight="1" x14ac:dyDescent="0.2">
      <c r="A7" s="16" t="s">
        <v>151</v>
      </c>
      <c r="B7" s="33" t="s">
        <v>152</v>
      </c>
      <c r="C7" s="30"/>
      <c r="D7" s="30"/>
      <c r="E7" s="30"/>
      <c r="F7" s="30"/>
      <c r="G7" s="30"/>
      <c r="H7" s="30"/>
    </row>
    <row r="8" spans="1:8" ht="18" customHeight="1" x14ac:dyDescent="0.2">
      <c r="A8" s="16" t="s">
        <v>153</v>
      </c>
      <c r="B8" s="33" t="s">
        <v>154</v>
      </c>
      <c r="C8" s="30"/>
      <c r="D8" s="30"/>
      <c r="E8" s="30"/>
      <c r="F8" s="30"/>
      <c r="G8" s="30"/>
      <c r="H8" s="30"/>
    </row>
    <row r="9" spans="1:8" ht="18" customHeight="1" x14ac:dyDescent="0.2">
      <c r="A9" s="16" t="s">
        <v>155</v>
      </c>
      <c r="B9" s="33" t="s">
        <v>156</v>
      </c>
      <c r="C9" s="30"/>
      <c r="D9" s="30"/>
      <c r="E9" s="30"/>
      <c r="F9" s="30"/>
      <c r="G9" s="30"/>
      <c r="H9" s="30"/>
    </row>
    <row r="11" spans="1:8" ht="27.95" customHeight="1" x14ac:dyDescent="0.2">
      <c r="A11" s="42" t="s">
        <v>157</v>
      </c>
      <c r="B11" s="30"/>
      <c r="C11" s="30"/>
      <c r="D11" s="30"/>
      <c r="E11" s="30"/>
      <c r="F11" s="30"/>
      <c r="G11" s="30"/>
      <c r="H11" s="30"/>
    </row>
    <row r="12" spans="1:8" ht="15" x14ac:dyDescent="0.2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158</v>
      </c>
      <c r="F12" s="1" t="s">
        <v>32</v>
      </c>
      <c r="G12" s="1" t="s">
        <v>159</v>
      </c>
      <c r="H12" s="1" t="s">
        <v>160</v>
      </c>
    </row>
    <row r="13" spans="1:8" x14ac:dyDescent="0.2">
      <c r="A13" s="2" t="s">
        <v>39</v>
      </c>
      <c r="B13" s="3" t="s">
        <v>40</v>
      </c>
      <c r="C13" s="2" t="s">
        <v>41</v>
      </c>
      <c r="D13" s="2" t="s">
        <v>42</v>
      </c>
      <c r="E13" s="2" t="s">
        <v>161</v>
      </c>
      <c r="F13" s="8">
        <v>55000</v>
      </c>
      <c r="G13" s="2" t="s">
        <v>162</v>
      </c>
      <c r="H13" s="8">
        <v>50000</v>
      </c>
    </row>
    <row r="14" spans="1:8" x14ac:dyDescent="0.2">
      <c r="A14" s="4" t="s">
        <v>47</v>
      </c>
      <c r="B14" s="5" t="s">
        <v>48</v>
      </c>
      <c r="C14" s="4" t="s">
        <v>49</v>
      </c>
      <c r="D14" s="4" t="s">
        <v>50</v>
      </c>
      <c r="E14" s="4" t="s">
        <v>163</v>
      </c>
      <c r="F14" s="10">
        <v>42000</v>
      </c>
      <c r="G14" s="4" t="s">
        <v>162</v>
      </c>
      <c r="H14" s="10">
        <v>40000</v>
      </c>
    </row>
    <row r="15" spans="1:8" x14ac:dyDescent="0.2">
      <c r="A15" s="2" t="s">
        <v>53</v>
      </c>
      <c r="B15" s="3" t="s">
        <v>56</v>
      </c>
      <c r="C15" s="2" t="s">
        <v>57</v>
      </c>
      <c r="D15" s="2" t="s">
        <v>42</v>
      </c>
      <c r="E15" s="2" t="s">
        <v>161</v>
      </c>
      <c r="F15" s="8">
        <v>68000</v>
      </c>
      <c r="G15" s="2" t="s">
        <v>164</v>
      </c>
      <c r="H15" s="8">
        <v>65000</v>
      </c>
    </row>
    <row r="16" spans="1:8" x14ac:dyDescent="0.2">
      <c r="A16" s="4" t="s">
        <v>62</v>
      </c>
      <c r="B16" s="5" t="s">
        <v>63</v>
      </c>
      <c r="C16" s="4" t="s">
        <v>41</v>
      </c>
      <c r="D16" s="4" t="s">
        <v>64</v>
      </c>
      <c r="E16" s="4" t="s">
        <v>163</v>
      </c>
      <c r="F16" s="10">
        <v>50000</v>
      </c>
      <c r="G16" s="4" t="s">
        <v>162</v>
      </c>
      <c r="H16" s="10">
        <v>48000</v>
      </c>
    </row>
    <row r="17" spans="1:8" x14ac:dyDescent="0.2">
      <c r="A17" s="2" t="s">
        <v>69</v>
      </c>
      <c r="B17" s="3" t="s">
        <v>70</v>
      </c>
      <c r="C17" s="2" t="s">
        <v>71</v>
      </c>
      <c r="D17" s="2" t="s">
        <v>42</v>
      </c>
      <c r="E17" s="2" t="s">
        <v>161</v>
      </c>
      <c r="F17" s="8">
        <v>60000</v>
      </c>
      <c r="G17" s="2" t="s">
        <v>164</v>
      </c>
      <c r="H17" s="8">
        <v>58000</v>
      </c>
    </row>
    <row r="18" spans="1:8" x14ac:dyDescent="0.2">
      <c r="A18" s="4" t="s">
        <v>76</v>
      </c>
      <c r="B18" s="5" t="s">
        <v>77</v>
      </c>
      <c r="C18" s="4" t="s">
        <v>57</v>
      </c>
      <c r="D18" s="4" t="s">
        <v>50</v>
      </c>
      <c r="E18" s="4" t="s">
        <v>163</v>
      </c>
      <c r="F18" s="10">
        <v>72000</v>
      </c>
      <c r="G18" s="4" t="s">
        <v>162</v>
      </c>
      <c r="H18" s="10">
        <v>70000</v>
      </c>
    </row>
    <row r="19" spans="1:8" x14ac:dyDescent="0.2">
      <c r="A19" s="2" t="s">
        <v>67</v>
      </c>
      <c r="B19" s="3" t="s">
        <v>81</v>
      </c>
      <c r="C19" s="2" t="s">
        <v>41</v>
      </c>
      <c r="D19" s="2" t="s">
        <v>42</v>
      </c>
      <c r="E19" s="2" t="s">
        <v>161</v>
      </c>
      <c r="F19" s="8">
        <v>48000</v>
      </c>
      <c r="G19" s="2" t="s">
        <v>165</v>
      </c>
      <c r="H19" s="8">
        <v>50000</v>
      </c>
    </row>
    <row r="20" spans="1:8" x14ac:dyDescent="0.2">
      <c r="A20" s="4" t="s">
        <v>85</v>
      </c>
      <c r="B20" s="5" t="s">
        <v>86</v>
      </c>
      <c r="C20" s="4" t="s">
        <v>49</v>
      </c>
      <c r="D20" s="4" t="s">
        <v>64</v>
      </c>
      <c r="E20" s="4" t="s">
        <v>163</v>
      </c>
      <c r="F20" s="10">
        <v>40000</v>
      </c>
      <c r="G20" s="4" t="s">
        <v>164</v>
      </c>
      <c r="H20" s="10">
        <v>38000</v>
      </c>
    </row>
    <row r="21" spans="1:8" x14ac:dyDescent="0.2">
      <c r="A21" s="2" t="s">
        <v>91</v>
      </c>
      <c r="B21" s="3" t="s">
        <v>92</v>
      </c>
      <c r="C21" s="2" t="s">
        <v>71</v>
      </c>
      <c r="D21" s="2" t="s">
        <v>50</v>
      </c>
      <c r="E21" s="2" t="s">
        <v>161</v>
      </c>
      <c r="F21" s="8">
        <v>65000</v>
      </c>
      <c r="G21" s="2" t="s">
        <v>165</v>
      </c>
      <c r="H21" s="8">
        <v>62000</v>
      </c>
    </row>
    <row r="22" spans="1:8" x14ac:dyDescent="0.2">
      <c r="A22" s="4" t="s">
        <v>89</v>
      </c>
      <c r="B22" s="5" t="s">
        <v>96</v>
      </c>
      <c r="C22" s="4" t="s">
        <v>57</v>
      </c>
      <c r="D22" s="4" t="s">
        <v>42</v>
      </c>
      <c r="E22" s="4" t="s">
        <v>163</v>
      </c>
      <c r="F22" s="10">
        <v>70000</v>
      </c>
      <c r="G22" s="4" t="s">
        <v>162</v>
      </c>
      <c r="H22" s="10">
        <v>68000</v>
      </c>
    </row>
    <row r="23" spans="1:8" x14ac:dyDescent="0.2">
      <c r="A23" s="2" t="s">
        <v>166</v>
      </c>
      <c r="B23" s="3" t="s">
        <v>167</v>
      </c>
      <c r="C23" s="2" t="s">
        <v>41</v>
      </c>
      <c r="D23" s="2" t="s">
        <v>50</v>
      </c>
      <c r="E23" s="2" t="s">
        <v>161</v>
      </c>
      <c r="F23" s="8">
        <v>52000</v>
      </c>
      <c r="G23" s="2" t="s">
        <v>164</v>
      </c>
      <c r="H23" s="8">
        <v>50000</v>
      </c>
    </row>
    <row r="24" spans="1:8" x14ac:dyDescent="0.2">
      <c r="A24" s="4" t="s">
        <v>168</v>
      </c>
      <c r="B24" s="5" t="s">
        <v>169</v>
      </c>
      <c r="C24" s="4" t="s">
        <v>71</v>
      </c>
      <c r="D24" s="4" t="s">
        <v>42</v>
      </c>
      <c r="E24" s="4" t="s">
        <v>163</v>
      </c>
      <c r="F24" s="10">
        <v>58000</v>
      </c>
      <c r="G24" s="4" t="s">
        <v>165</v>
      </c>
      <c r="H24" s="10">
        <v>55000</v>
      </c>
    </row>
    <row r="25" spans="1:8" x14ac:dyDescent="0.2">
      <c r="A25" s="2" t="s">
        <v>170</v>
      </c>
      <c r="B25" s="3" t="s">
        <v>171</v>
      </c>
      <c r="C25" s="2" t="s">
        <v>57</v>
      </c>
      <c r="D25" s="2" t="s">
        <v>64</v>
      </c>
      <c r="E25" s="2" t="s">
        <v>161</v>
      </c>
      <c r="F25" s="8">
        <v>64000</v>
      </c>
      <c r="G25" s="2" t="s">
        <v>162</v>
      </c>
      <c r="H25" s="8">
        <v>62000</v>
      </c>
    </row>
    <row r="26" spans="1:8" x14ac:dyDescent="0.2">
      <c r="A26" s="4" t="s">
        <v>172</v>
      </c>
      <c r="B26" s="5" t="s">
        <v>173</v>
      </c>
      <c r="C26" s="4" t="s">
        <v>41</v>
      </c>
      <c r="D26" s="4" t="s">
        <v>42</v>
      </c>
      <c r="E26" s="4" t="s">
        <v>163</v>
      </c>
      <c r="F26" s="10">
        <v>46000</v>
      </c>
      <c r="G26" s="4" t="s">
        <v>164</v>
      </c>
      <c r="H26" s="10">
        <v>48000</v>
      </c>
    </row>
    <row r="27" spans="1:8" x14ac:dyDescent="0.2">
      <c r="A27" s="2" t="s">
        <v>174</v>
      </c>
      <c r="B27" s="3" t="s">
        <v>175</v>
      </c>
      <c r="C27" s="2" t="s">
        <v>49</v>
      </c>
      <c r="D27" s="2" t="s">
        <v>50</v>
      </c>
      <c r="E27" s="2" t="s">
        <v>161</v>
      </c>
      <c r="F27" s="8">
        <v>44000</v>
      </c>
      <c r="G27" s="2" t="s">
        <v>165</v>
      </c>
      <c r="H27" s="8">
        <v>42000</v>
      </c>
    </row>
    <row r="30" spans="1:8" x14ac:dyDescent="0.2">
      <c r="A30" s="41" t="s">
        <v>176</v>
      </c>
      <c r="B30" s="30"/>
      <c r="C30" s="30"/>
      <c r="D30" s="30"/>
      <c r="E30" s="30"/>
      <c r="F30" s="30"/>
      <c r="G30" s="30"/>
      <c r="H30" s="30"/>
    </row>
    <row r="31" spans="1:8" ht="15" x14ac:dyDescent="0.2">
      <c r="A31" s="1" t="s">
        <v>177</v>
      </c>
      <c r="B31" s="1" t="s">
        <v>178</v>
      </c>
      <c r="C31" s="35" t="s">
        <v>179</v>
      </c>
      <c r="D31" s="30"/>
      <c r="E31" s="30"/>
      <c r="F31" s="30"/>
      <c r="G31" s="30"/>
      <c r="H31" s="30"/>
    </row>
    <row r="32" spans="1:8" x14ac:dyDescent="0.2">
      <c r="A32" s="17" t="s">
        <v>180</v>
      </c>
      <c r="B32" s="18" t="s">
        <v>181</v>
      </c>
      <c r="C32" s="40" t="s">
        <v>182</v>
      </c>
      <c r="D32" s="30"/>
      <c r="E32" s="30"/>
      <c r="F32" s="30"/>
      <c r="G32" s="30"/>
      <c r="H32" s="30"/>
    </row>
    <row r="33" spans="1:8" x14ac:dyDescent="0.2">
      <c r="A33" s="19" t="s">
        <v>183</v>
      </c>
      <c r="B33" s="3" t="s">
        <v>184</v>
      </c>
      <c r="C33" s="40" t="s">
        <v>185</v>
      </c>
      <c r="D33" s="30"/>
      <c r="E33" s="30"/>
      <c r="F33" s="30"/>
      <c r="G33" s="30"/>
      <c r="H33" s="30"/>
    </row>
    <row r="34" spans="1:8" x14ac:dyDescent="0.2">
      <c r="A34" s="17" t="s">
        <v>186</v>
      </c>
      <c r="B34" s="18" t="s">
        <v>187</v>
      </c>
      <c r="C34" s="40" t="s">
        <v>188</v>
      </c>
      <c r="D34" s="30"/>
      <c r="E34" s="30"/>
      <c r="F34" s="30"/>
      <c r="G34" s="30"/>
      <c r="H34" s="30"/>
    </row>
    <row r="35" spans="1:8" x14ac:dyDescent="0.2">
      <c r="A35" s="19" t="s">
        <v>189</v>
      </c>
      <c r="B35" s="3" t="s">
        <v>190</v>
      </c>
      <c r="C35" s="40" t="s">
        <v>191</v>
      </c>
      <c r="D35" s="30"/>
      <c r="E35" s="30"/>
      <c r="F35" s="30"/>
      <c r="G35" s="30"/>
      <c r="H35" s="30"/>
    </row>
    <row r="36" spans="1:8" x14ac:dyDescent="0.2">
      <c r="A36" s="17" t="s">
        <v>192</v>
      </c>
      <c r="B36" s="18" t="s">
        <v>193</v>
      </c>
      <c r="C36" s="40" t="s">
        <v>194</v>
      </c>
      <c r="D36" s="30"/>
      <c r="E36" s="30"/>
      <c r="F36" s="30"/>
      <c r="G36" s="30"/>
      <c r="H36" s="30"/>
    </row>
  </sheetData>
  <mergeCells count="16">
    <mergeCell ref="A1:H1"/>
    <mergeCell ref="B5:H5"/>
    <mergeCell ref="C34:H34"/>
    <mergeCell ref="C36:H36"/>
    <mergeCell ref="B4:H4"/>
    <mergeCell ref="C31:H31"/>
    <mergeCell ref="B6:H6"/>
    <mergeCell ref="A11:H11"/>
    <mergeCell ref="C35:H35"/>
    <mergeCell ref="B7:H7"/>
    <mergeCell ref="C33:H33"/>
    <mergeCell ref="B8:H8"/>
    <mergeCell ref="A3:H3"/>
    <mergeCell ref="A30:H30"/>
    <mergeCell ref="C32:H32"/>
    <mergeCell ref="B9:H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workbookViewId="0">
      <selection sqref="A1:J1"/>
    </sheetView>
  </sheetViews>
  <sheetFormatPr defaultRowHeight="14.25" x14ac:dyDescent="0.2"/>
  <cols>
    <col min="1" max="1" width="12" customWidth="1"/>
    <col min="2" max="2" width="32" customWidth="1"/>
    <col min="3" max="6" width="8" customWidth="1"/>
    <col min="7" max="10" width="12" customWidth="1"/>
  </cols>
  <sheetData>
    <row r="1" spans="1:10" ht="35.1" customHeight="1" x14ac:dyDescent="0.2">
      <c r="A1" s="39" t="s">
        <v>195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x14ac:dyDescent="0.2">
      <c r="A3" s="35" t="s">
        <v>196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">
      <c r="A4" s="15" t="s">
        <v>112</v>
      </c>
      <c r="B4" s="33"/>
      <c r="C4" s="30"/>
      <c r="D4" s="30"/>
      <c r="E4" s="30"/>
      <c r="F4" s="30"/>
      <c r="G4" s="30"/>
      <c r="H4" s="30"/>
      <c r="I4" s="30"/>
      <c r="J4" s="30"/>
    </row>
    <row r="5" spans="1:10" x14ac:dyDescent="0.2">
      <c r="A5" s="15" t="s">
        <v>197</v>
      </c>
      <c r="B5" s="33" t="e">
        <f ca="1">TEXTJOIN(", ", TRUE, A2:A10)  →  Ahmed, Sara, Zain</f>
        <v>#NAME?</v>
      </c>
      <c r="C5" s="30"/>
      <c r="D5" s="30"/>
      <c r="E5" s="30"/>
      <c r="F5" s="30"/>
      <c r="G5" s="30"/>
      <c r="H5" s="30"/>
      <c r="I5" s="30"/>
      <c r="J5" s="30"/>
    </row>
    <row r="6" spans="1:10" ht="15" x14ac:dyDescent="0.2">
      <c r="A6" s="7" t="s">
        <v>198</v>
      </c>
      <c r="B6" s="7" t="s">
        <v>177</v>
      </c>
      <c r="C6" s="42" t="s">
        <v>199</v>
      </c>
      <c r="D6" s="30"/>
      <c r="E6" s="30"/>
      <c r="F6" s="30"/>
      <c r="G6" s="42" t="s">
        <v>200</v>
      </c>
      <c r="H6" s="30"/>
      <c r="I6" s="30"/>
      <c r="J6" s="30"/>
    </row>
    <row r="7" spans="1:10" x14ac:dyDescent="0.2">
      <c r="A7" s="20" t="s">
        <v>201</v>
      </c>
      <c r="B7" s="3" t="s">
        <v>202</v>
      </c>
      <c r="C7" s="43" t="s">
        <v>203</v>
      </c>
      <c r="D7" s="30"/>
      <c r="E7" s="30"/>
      <c r="F7" s="30"/>
      <c r="G7" s="36" t="e">
        <f ca="1">TEXTJOIN(", ", TRUE, A12:A21)</f>
        <v>#NAME?</v>
      </c>
      <c r="H7" s="30"/>
      <c r="I7" s="30"/>
      <c r="J7" s="30"/>
    </row>
    <row r="8" spans="1:10" x14ac:dyDescent="0.2">
      <c r="A8" s="21" t="s">
        <v>204</v>
      </c>
      <c r="B8" s="5" t="s">
        <v>205</v>
      </c>
      <c r="C8" s="43" t="s">
        <v>203</v>
      </c>
      <c r="D8" s="30"/>
      <c r="E8" s="30"/>
      <c r="F8" s="30"/>
      <c r="G8" s="36" t="e">
        <f ca="1">TEXTJOIN(", ", TRUE, B12, B14, B17)</f>
        <v>#NAME?</v>
      </c>
      <c r="H8" s="30"/>
      <c r="I8" s="30"/>
      <c r="J8" s="30"/>
    </row>
    <row r="9" spans="1:10" x14ac:dyDescent="0.2">
      <c r="A9" s="20" t="s">
        <v>206</v>
      </c>
      <c r="B9" s="3" t="s">
        <v>207</v>
      </c>
      <c r="C9" s="43" t="s">
        <v>203</v>
      </c>
      <c r="D9" s="30"/>
      <c r="E9" s="30"/>
      <c r="F9" s="30"/>
      <c r="G9" s="36" t="e">
        <f ca="1">TEXTJOIN(" - ", TRUE, B12, B15, B17, B20)</f>
        <v>#NAME?</v>
      </c>
      <c r="H9" s="30"/>
      <c r="I9" s="30"/>
      <c r="J9" s="30"/>
    </row>
    <row r="11" spans="1:10" x14ac:dyDescent="0.2">
      <c r="A11" s="35" t="s">
        <v>208</v>
      </c>
      <c r="B11" s="30"/>
      <c r="C11" s="30"/>
      <c r="D11" s="30"/>
      <c r="E11" s="30"/>
      <c r="F11" s="30"/>
      <c r="G11" s="30"/>
      <c r="H11" s="30"/>
      <c r="I11" s="30"/>
      <c r="J11" s="30"/>
    </row>
    <row r="12" spans="1:10" x14ac:dyDescent="0.2">
      <c r="A12" s="33" t="s">
        <v>209</v>
      </c>
      <c r="B12" s="30"/>
      <c r="C12" s="30"/>
      <c r="D12" s="30"/>
      <c r="E12" s="30"/>
      <c r="F12" s="30"/>
      <c r="G12" s="30"/>
      <c r="H12" s="30"/>
      <c r="I12" s="30"/>
      <c r="J12" s="30"/>
    </row>
    <row r="13" spans="1:10" x14ac:dyDescent="0.2">
      <c r="A13" s="20" t="s">
        <v>210</v>
      </c>
      <c r="B13" s="3" t="s">
        <v>211</v>
      </c>
      <c r="C13" s="43" t="s">
        <v>203</v>
      </c>
      <c r="D13" s="30"/>
      <c r="E13" s="30"/>
      <c r="F13" s="30"/>
      <c r="G13" s="36" t="e">
        <f ca="1">UNIQUE('📊 Data Master'!C3:C12)</f>
        <v>#NAME?</v>
      </c>
      <c r="H13" s="30"/>
      <c r="I13" s="30"/>
      <c r="J13" s="30"/>
    </row>
    <row r="14" spans="1:10" x14ac:dyDescent="0.2">
      <c r="A14" s="21" t="s">
        <v>212</v>
      </c>
      <c r="B14" s="5" t="s">
        <v>213</v>
      </c>
      <c r="C14" s="43" t="s">
        <v>203</v>
      </c>
      <c r="D14" s="30"/>
      <c r="E14" s="30"/>
      <c r="F14" s="30"/>
      <c r="G14" s="36" t="e">
        <f ca="1">UNIQUE('📊 Data Master'!D3:D12)</f>
        <v>#NAME?</v>
      </c>
      <c r="H14" s="30"/>
      <c r="I14" s="30"/>
      <c r="J14" s="30"/>
    </row>
    <row r="16" spans="1:10" x14ac:dyDescent="0.2">
      <c r="A16" s="35" t="s">
        <v>214</v>
      </c>
      <c r="B16" s="30"/>
      <c r="C16" s="30"/>
      <c r="D16" s="30"/>
      <c r="E16" s="30"/>
      <c r="F16" s="30"/>
      <c r="G16" s="30"/>
      <c r="H16" s="30"/>
      <c r="I16" s="30"/>
      <c r="J16" s="30"/>
    </row>
    <row r="17" spans="1:10" x14ac:dyDescent="0.2">
      <c r="A17" s="33" t="s">
        <v>215</v>
      </c>
      <c r="B17" s="30"/>
      <c r="C17" s="30"/>
      <c r="D17" s="30"/>
      <c r="E17" s="30"/>
      <c r="F17" s="30"/>
      <c r="G17" s="30"/>
      <c r="H17" s="30"/>
      <c r="I17" s="30"/>
      <c r="J17" s="30"/>
    </row>
    <row r="18" spans="1:10" x14ac:dyDescent="0.2">
      <c r="A18" s="21" t="s">
        <v>216</v>
      </c>
      <c r="B18" s="5" t="s">
        <v>217</v>
      </c>
      <c r="C18" s="43" t="s">
        <v>203</v>
      </c>
      <c r="D18" s="30"/>
      <c r="E18" s="30"/>
      <c r="F18" s="30"/>
      <c r="G18" s="36"/>
      <c r="H18" s="30"/>
      <c r="I18" s="30"/>
      <c r="J18" s="30"/>
    </row>
    <row r="19" spans="1:10" x14ac:dyDescent="0.2">
      <c r="A19" s="20" t="s">
        <v>218</v>
      </c>
      <c r="B19" s="3" t="s">
        <v>219</v>
      </c>
      <c r="C19" s="43" t="s">
        <v>203</v>
      </c>
      <c r="D19" s="30"/>
      <c r="E19" s="30"/>
      <c r="F19" s="30"/>
      <c r="G19" s="36"/>
      <c r="H19" s="30"/>
      <c r="I19" s="30"/>
      <c r="J19" s="30"/>
    </row>
    <row r="20" spans="1:10" x14ac:dyDescent="0.2">
      <c r="A20" s="21" t="s">
        <v>220</v>
      </c>
      <c r="B20" s="5" t="s">
        <v>221</v>
      </c>
      <c r="C20" s="43" t="s">
        <v>203</v>
      </c>
      <c r="D20" s="30"/>
      <c r="E20" s="30"/>
      <c r="F20" s="30"/>
      <c r="G20" s="36"/>
      <c r="H20" s="30"/>
      <c r="I20" s="30"/>
      <c r="J20" s="30"/>
    </row>
  </sheetData>
  <mergeCells count="26">
    <mergeCell ref="C6:F6"/>
    <mergeCell ref="C14:F14"/>
    <mergeCell ref="A11:J11"/>
    <mergeCell ref="A1:J1"/>
    <mergeCell ref="B5:J5"/>
    <mergeCell ref="G8:J8"/>
    <mergeCell ref="G7:J7"/>
    <mergeCell ref="B4:J4"/>
    <mergeCell ref="G6:J6"/>
    <mergeCell ref="C9:F9"/>
    <mergeCell ref="G13:J13"/>
    <mergeCell ref="A3:J3"/>
    <mergeCell ref="A12:J12"/>
    <mergeCell ref="G14:J14"/>
    <mergeCell ref="C8:F8"/>
    <mergeCell ref="A17:J17"/>
    <mergeCell ref="G20:J20"/>
    <mergeCell ref="C7:F7"/>
    <mergeCell ref="C19:F19"/>
    <mergeCell ref="C13:F13"/>
    <mergeCell ref="C18:F18"/>
    <mergeCell ref="G9:J9"/>
    <mergeCell ref="C20:F20"/>
    <mergeCell ref="A16:J16"/>
    <mergeCell ref="G19:J19"/>
    <mergeCell ref="G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workbookViewId="0">
      <selection sqref="A1:I1"/>
    </sheetView>
  </sheetViews>
  <sheetFormatPr defaultRowHeight="14.25" x14ac:dyDescent="0.2"/>
  <cols>
    <col min="1" max="1" width="12" customWidth="1"/>
    <col min="2" max="2" width="42" customWidth="1"/>
    <col min="3" max="5" width="10" customWidth="1"/>
    <col min="6" max="9" width="12" customWidth="1"/>
  </cols>
  <sheetData>
    <row r="1" spans="1:9" ht="42" customHeight="1" x14ac:dyDescent="0.2">
      <c r="A1" s="50" t="s">
        <v>222</v>
      </c>
      <c r="B1" s="26"/>
      <c r="C1" s="26"/>
      <c r="D1" s="26"/>
      <c r="E1" s="26"/>
      <c r="F1" s="26"/>
      <c r="G1" s="26"/>
      <c r="H1" s="26"/>
      <c r="I1" s="26"/>
    </row>
    <row r="2" spans="1:9" ht="24.95" customHeight="1" x14ac:dyDescent="0.2">
      <c r="A2" s="47" t="s">
        <v>223</v>
      </c>
      <c r="B2" s="26"/>
      <c r="C2" s="26"/>
      <c r="D2" s="26"/>
      <c r="E2" s="26"/>
      <c r="F2" s="26"/>
      <c r="G2" s="26"/>
      <c r="H2" s="26"/>
      <c r="I2" s="26"/>
    </row>
    <row r="4" spans="1:9" ht="24.95" customHeight="1" x14ac:dyDescent="0.2">
      <c r="A4" s="31" t="s">
        <v>224</v>
      </c>
      <c r="B4" s="30"/>
      <c r="C4" s="30"/>
      <c r="D4" s="30"/>
      <c r="E4" s="30"/>
      <c r="F4" s="30"/>
      <c r="G4" s="30"/>
      <c r="H4" s="30"/>
      <c r="I4" s="30"/>
    </row>
    <row r="5" spans="1:9" ht="15" x14ac:dyDescent="0.2">
      <c r="A5" s="22" t="s">
        <v>225</v>
      </c>
      <c r="B5" s="22" t="s">
        <v>226</v>
      </c>
      <c r="C5" s="46" t="s">
        <v>199</v>
      </c>
      <c r="D5" s="30"/>
      <c r="E5" s="30"/>
      <c r="F5" s="46" t="s">
        <v>227</v>
      </c>
      <c r="G5" s="30"/>
      <c r="H5" s="30"/>
      <c r="I5" s="30"/>
    </row>
    <row r="6" spans="1:9" ht="20.100000000000001" customHeight="1" x14ac:dyDescent="0.2">
      <c r="A6" s="23" t="s">
        <v>228</v>
      </c>
      <c r="B6" s="5" t="s">
        <v>229</v>
      </c>
      <c r="C6" s="43" t="s">
        <v>203</v>
      </c>
      <c r="D6" s="30"/>
      <c r="E6" s="30"/>
      <c r="F6" s="44" t="str">
        <f>INDEX('📊 Data Master'!B3:B12,MATCH("E006",'📊 Data Master'!A3:A12,0))</f>
        <v>Hina Shah</v>
      </c>
      <c r="G6" s="30"/>
      <c r="H6" s="30"/>
      <c r="I6" s="30"/>
    </row>
    <row r="7" spans="1:9" ht="20.100000000000001" customHeight="1" x14ac:dyDescent="0.2">
      <c r="A7" s="19" t="s">
        <v>230</v>
      </c>
      <c r="B7" s="3" t="s">
        <v>231</v>
      </c>
      <c r="C7" s="43" t="s">
        <v>203</v>
      </c>
      <c r="D7" s="30"/>
      <c r="E7" s="30"/>
      <c r="F7" s="44" t="str">
        <f>INDEX('📊 Data Master'!D3:D12,MATCH(40000,'📊 Data Master'!E3:E12,0))</f>
        <v>Islamabad</v>
      </c>
      <c r="G7" s="30"/>
      <c r="H7" s="30"/>
      <c r="I7" s="30"/>
    </row>
    <row r="8" spans="1:9" ht="20.100000000000001" customHeight="1" x14ac:dyDescent="0.2">
      <c r="A8" s="23" t="s">
        <v>232</v>
      </c>
      <c r="B8" s="5" t="s">
        <v>233</v>
      </c>
      <c r="C8" s="43" t="s">
        <v>203</v>
      </c>
      <c r="D8" s="30"/>
      <c r="E8" s="30"/>
      <c r="F8" s="44">
        <f>INDEX('📊 Data Master'!E3:E12,MATCH("IT",'📊 Data Master'!C3:C12,0))</f>
        <v>68000</v>
      </c>
      <c r="G8" s="30"/>
      <c r="H8" s="30"/>
      <c r="I8" s="30"/>
    </row>
    <row r="9" spans="1:9" x14ac:dyDescent="0.2">
      <c r="A9" s="6"/>
      <c r="B9" s="6"/>
      <c r="C9" s="6"/>
      <c r="D9" s="6"/>
      <c r="E9" s="6"/>
      <c r="F9" s="6"/>
      <c r="G9" s="6"/>
      <c r="H9" s="6"/>
      <c r="I9" s="6"/>
    </row>
    <row r="10" spans="1:9" ht="24.95" customHeight="1" x14ac:dyDescent="0.2">
      <c r="A10" s="48" t="s">
        <v>234</v>
      </c>
      <c r="B10" s="30"/>
      <c r="C10" s="30"/>
      <c r="D10" s="30"/>
      <c r="E10" s="30"/>
      <c r="F10" s="30"/>
      <c r="G10" s="30"/>
      <c r="H10" s="30"/>
      <c r="I10" s="30"/>
    </row>
    <row r="11" spans="1:9" ht="15" x14ac:dyDescent="0.2">
      <c r="A11" s="22" t="s">
        <v>225</v>
      </c>
      <c r="B11" s="22" t="s">
        <v>226</v>
      </c>
      <c r="C11" s="46" t="s">
        <v>199</v>
      </c>
      <c r="D11" s="30"/>
      <c r="E11" s="30"/>
      <c r="F11" s="46" t="s">
        <v>227</v>
      </c>
      <c r="G11" s="30"/>
      <c r="H11" s="30"/>
      <c r="I11" s="30"/>
    </row>
    <row r="12" spans="1:9" ht="20.100000000000001" customHeight="1" x14ac:dyDescent="0.2">
      <c r="A12" s="23" t="s">
        <v>235</v>
      </c>
      <c r="B12" s="5" t="s">
        <v>236</v>
      </c>
      <c r="C12" s="43" t="s">
        <v>203</v>
      </c>
      <c r="D12" s="30"/>
      <c r="E12" s="30"/>
      <c r="F12" s="44">
        <f>SUMPRODUCT(('📊 Data Master'!I3:I17="E001")*('📊 Data Master'!K3:K17)*('📊 Data Master'!L3:L17))</f>
        <v>184000</v>
      </c>
      <c r="G12" s="30"/>
      <c r="H12" s="30"/>
      <c r="I12" s="30"/>
    </row>
    <row r="13" spans="1:9" ht="20.100000000000001" customHeight="1" x14ac:dyDescent="0.2">
      <c r="A13" s="19" t="s">
        <v>237</v>
      </c>
      <c r="B13" s="3" t="s">
        <v>238</v>
      </c>
      <c r="C13" s="43" t="s">
        <v>203</v>
      </c>
      <c r="D13" s="30"/>
      <c r="E13" s="30"/>
      <c r="F13" s="44">
        <f>COUNTIF('📊 Data Master'!J3:J17,"Laptop")</f>
        <v>5</v>
      </c>
      <c r="G13" s="30"/>
      <c r="H13" s="30"/>
      <c r="I13" s="30"/>
    </row>
    <row r="14" spans="1:9" ht="20.100000000000001" customHeight="1" x14ac:dyDescent="0.2">
      <c r="A14" s="23" t="s">
        <v>239</v>
      </c>
      <c r="B14" s="5" t="s">
        <v>240</v>
      </c>
      <c r="C14" s="43" t="s">
        <v>203</v>
      </c>
      <c r="D14" s="30"/>
      <c r="E14" s="30"/>
      <c r="F14" s="44">
        <f>COUNTIFS('📊 Data Master'!I3:I17,"E001",'📊 Data Master'!J3:J17,"Laptop")+COUNTIFS('📊 Data Master'!I3:I17,"E004",'📊 Data Master'!J3:J17,"Laptop")</f>
        <v>2</v>
      </c>
      <c r="G14" s="30"/>
      <c r="H14" s="30"/>
      <c r="I14" s="30"/>
    </row>
    <row r="15" spans="1:9" x14ac:dyDescent="0.2">
      <c r="A15" s="6"/>
      <c r="B15" s="6"/>
      <c r="C15" s="6"/>
      <c r="D15" s="6"/>
      <c r="E15" s="6"/>
      <c r="F15" s="6"/>
      <c r="G15" s="6"/>
      <c r="H15" s="6"/>
      <c r="I15" s="6"/>
    </row>
    <row r="16" spans="1:9" ht="24.95" customHeight="1" x14ac:dyDescent="0.2">
      <c r="A16" s="51" t="s">
        <v>241</v>
      </c>
      <c r="B16" s="30"/>
      <c r="C16" s="30"/>
      <c r="D16" s="30"/>
      <c r="E16" s="30"/>
      <c r="F16" s="30"/>
      <c r="G16" s="30"/>
      <c r="H16" s="30"/>
      <c r="I16" s="30"/>
    </row>
    <row r="17" spans="1:9" ht="15" x14ac:dyDescent="0.2">
      <c r="A17" s="22" t="s">
        <v>225</v>
      </c>
      <c r="B17" s="22" t="s">
        <v>226</v>
      </c>
      <c r="C17" s="46" t="s">
        <v>199</v>
      </c>
      <c r="D17" s="30"/>
      <c r="E17" s="30"/>
      <c r="F17" s="46" t="s">
        <v>227</v>
      </c>
      <c r="G17" s="30"/>
      <c r="H17" s="30"/>
      <c r="I17" s="30"/>
    </row>
    <row r="18" spans="1:9" ht="20.100000000000001" customHeight="1" x14ac:dyDescent="0.2">
      <c r="A18" s="23" t="s">
        <v>242</v>
      </c>
      <c r="B18" s="5" t="s">
        <v>243</v>
      </c>
      <c r="C18" s="43" t="s">
        <v>203</v>
      </c>
      <c r="D18" s="30"/>
      <c r="E18" s="30"/>
      <c r="F18" s="44" t="str">
        <f>IFERROR(VLOOKUP("E099",'📊 Data Master'!A3:F12,2,FALSE),"Employee Not Found")</f>
        <v>Employee Not Found</v>
      </c>
      <c r="G18" s="30"/>
      <c r="H18" s="30"/>
      <c r="I18" s="30"/>
    </row>
    <row r="19" spans="1:9" ht="20.100000000000001" customHeight="1" x14ac:dyDescent="0.2">
      <c r="A19" s="19" t="s">
        <v>244</v>
      </c>
      <c r="B19" s="3" t="s">
        <v>245</v>
      </c>
      <c r="C19" s="43" t="s">
        <v>203</v>
      </c>
      <c r="D19" s="30"/>
      <c r="E19" s="30"/>
      <c r="F19" s="44" t="e">
        <f ca="1">TEXTJOIN(", ",TRUE,UNIQUE('📊 Data Master'!J3:J17))</f>
        <v>#NAME?</v>
      </c>
      <c r="G19" s="30"/>
      <c r="H19" s="30"/>
      <c r="I19" s="30"/>
    </row>
    <row r="20" spans="1:9" ht="20.100000000000001" customHeight="1" x14ac:dyDescent="0.2">
      <c r="A20" s="23" t="s">
        <v>246</v>
      </c>
      <c r="B20" s="5" t="s">
        <v>247</v>
      </c>
      <c r="C20" s="43" t="s">
        <v>203</v>
      </c>
      <c r="D20" s="30"/>
      <c r="E20" s="30"/>
      <c r="F20" s="44" t="e">
        <f ca="1">TEXTJOIN(", ",TRUE,UNIQUE('📊 Data Master'!I3:I17))</f>
        <v>#NAME?</v>
      </c>
      <c r="G20" s="30"/>
      <c r="H20" s="30"/>
      <c r="I20" s="30"/>
    </row>
    <row r="21" spans="1:9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ht="24.95" customHeight="1" x14ac:dyDescent="0.2">
      <c r="A22" s="37" t="s">
        <v>248</v>
      </c>
      <c r="B22" s="30"/>
      <c r="C22" s="30"/>
      <c r="D22" s="30"/>
      <c r="E22" s="30"/>
      <c r="F22" s="30"/>
      <c r="G22" s="30"/>
      <c r="H22" s="30"/>
      <c r="I22" s="30"/>
    </row>
    <row r="23" spans="1:9" ht="15" x14ac:dyDescent="0.2">
      <c r="A23" s="22" t="s">
        <v>225</v>
      </c>
      <c r="B23" s="22" t="s">
        <v>226</v>
      </c>
      <c r="C23" s="46" t="s">
        <v>199</v>
      </c>
      <c r="D23" s="30"/>
      <c r="E23" s="30"/>
      <c r="F23" s="46" t="s">
        <v>227</v>
      </c>
      <c r="G23" s="30"/>
      <c r="H23" s="30"/>
      <c r="I23" s="30"/>
    </row>
    <row r="24" spans="1:9" ht="20.100000000000001" customHeight="1" x14ac:dyDescent="0.2">
      <c r="A24" s="23" t="s">
        <v>249</v>
      </c>
      <c r="B24" s="5" t="s">
        <v>250</v>
      </c>
      <c r="C24" s="43" t="s">
        <v>203</v>
      </c>
      <c r="D24" s="30"/>
      <c r="E24" s="30"/>
      <c r="F24" s="44" t="s">
        <v>251</v>
      </c>
      <c r="G24" s="30"/>
      <c r="H24" s="30"/>
      <c r="I24" s="30"/>
    </row>
    <row r="25" spans="1:9" ht="20.100000000000001" customHeight="1" x14ac:dyDescent="0.2">
      <c r="A25" s="19" t="s">
        <v>252</v>
      </c>
      <c r="B25" s="3" t="s">
        <v>253</v>
      </c>
      <c r="C25" s="43" t="s">
        <v>203</v>
      </c>
      <c r="D25" s="30"/>
      <c r="E25" s="30"/>
      <c r="F25" s="44" t="s">
        <v>254</v>
      </c>
      <c r="G25" s="30"/>
      <c r="H25" s="30"/>
      <c r="I25" s="30"/>
    </row>
    <row r="26" spans="1:9" ht="20.100000000000001" customHeight="1" x14ac:dyDescent="0.2">
      <c r="A26" s="23" t="s">
        <v>255</v>
      </c>
      <c r="B26" s="5" t="s">
        <v>256</v>
      </c>
      <c r="C26" s="43" t="s">
        <v>203</v>
      </c>
      <c r="D26" s="30"/>
      <c r="E26" s="30"/>
      <c r="F26" s="44" t="s">
        <v>257</v>
      </c>
      <c r="G26" s="30"/>
      <c r="H26" s="30"/>
      <c r="I26" s="30"/>
    </row>
    <row r="28" spans="1:9" x14ac:dyDescent="0.2">
      <c r="A28" s="49" t="s">
        <v>258</v>
      </c>
      <c r="B28" s="26"/>
      <c r="C28" s="26"/>
      <c r="D28" s="26"/>
      <c r="E28" s="26"/>
      <c r="F28" s="26"/>
      <c r="G28" s="26"/>
      <c r="H28" s="26"/>
      <c r="I28" s="26"/>
    </row>
    <row r="29" spans="1:9" x14ac:dyDescent="0.2">
      <c r="A29" s="24" t="s">
        <v>259</v>
      </c>
      <c r="B29" s="45" t="s">
        <v>260</v>
      </c>
      <c r="C29" s="26"/>
      <c r="D29" s="26"/>
      <c r="E29" s="26"/>
      <c r="F29" s="26"/>
      <c r="G29" s="26"/>
      <c r="H29" s="26"/>
      <c r="I29" s="26"/>
    </row>
    <row r="30" spans="1:9" x14ac:dyDescent="0.2">
      <c r="A30" s="24" t="s">
        <v>261</v>
      </c>
      <c r="B30" s="45" t="s">
        <v>262</v>
      </c>
      <c r="C30" s="26"/>
      <c r="D30" s="26"/>
      <c r="E30" s="26"/>
      <c r="F30" s="26"/>
      <c r="G30" s="26"/>
      <c r="H30" s="26"/>
      <c r="I30" s="26"/>
    </row>
    <row r="31" spans="1:9" x14ac:dyDescent="0.2">
      <c r="A31" s="24" t="s">
        <v>263</v>
      </c>
      <c r="B31" s="45" t="s">
        <v>264</v>
      </c>
      <c r="C31" s="26"/>
      <c r="D31" s="26"/>
      <c r="E31" s="26"/>
      <c r="F31" s="26"/>
      <c r="G31" s="26"/>
      <c r="H31" s="26"/>
      <c r="I31" s="26"/>
    </row>
  </sheetData>
  <mergeCells count="42">
    <mergeCell ref="A1:I1"/>
    <mergeCell ref="C26:E26"/>
    <mergeCell ref="F23:I23"/>
    <mergeCell ref="C20:E20"/>
    <mergeCell ref="C25:E25"/>
    <mergeCell ref="A16:I16"/>
    <mergeCell ref="F5:I5"/>
    <mergeCell ref="F20:I20"/>
    <mergeCell ref="C6:E6"/>
    <mergeCell ref="C24:E24"/>
    <mergeCell ref="F18:I18"/>
    <mergeCell ref="C14:E14"/>
    <mergeCell ref="C5:E5"/>
    <mergeCell ref="F17:I17"/>
    <mergeCell ref="F8:I8"/>
    <mergeCell ref="A2:I2"/>
    <mergeCell ref="C23:E23"/>
    <mergeCell ref="F11:I11"/>
    <mergeCell ref="C8:E8"/>
    <mergeCell ref="C17:E17"/>
    <mergeCell ref="A22:I22"/>
    <mergeCell ref="C7:E7"/>
    <mergeCell ref="F19:I19"/>
    <mergeCell ref="A4:I4"/>
    <mergeCell ref="F6:I6"/>
    <mergeCell ref="C13:E13"/>
    <mergeCell ref="A10:I10"/>
    <mergeCell ref="F7:I7"/>
    <mergeCell ref="C19:E19"/>
    <mergeCell ref="F12:I12"/>
    <mergeCell ref="C18:E18"/>
    <mergeCell ref="F13:I13"/>
    <mergeCell ref="B31:I31"/>
    <mergeCell ref="C12:E12"/>
    <mergeCell ref="F14:I14"/>
    <mergeCell ref="C11:E11"/>
    <mergeCell ref="F25:I25"/>
    <mergeCell ref="A28:I28"/>
    <mergeCell ref="B29:I29"/>
    <mergeCell ref="F24:I24"/>
    <mergeCell ref="F26:I26"/>
    <mergeCell ref="B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</vt:lpstr>
      <vt:lpstr>📊 Data Master</vt:lpstr>
      <vt:lpstr>🔍 INDEX-MATCH</vt:lpstr>
      <vt:lpstr>📈 Pivot Practice</vt:lpstr>
      <vt:lpstr>✍️ TEXTJOIN</vt:lpstr>
      <vt:lpstr>🏆 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2026-02-17T07:55:42Z</dcterms:created>
  <dcterms:modified xsi:type="dcterms:W3CDTF">2026-02-17T08:31:57Z</dcterms:modified>
</cp:coreProperties>
</file>