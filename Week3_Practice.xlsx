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SUMIFS" sheetId="1" state="visible" r:id="rId3"/>
    <sheet name="2-COUNTIFS" sheetId="2" state="visible" r:id="rId4"/>
    <sheet name="3-IFERROR &amp; TEXT" sheetId="3" state="visible" r:id="rId5"/>
    <sheet name="4-CHALLEN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<sst xmlns="http://schemas.openxmlformats.org/spreadsheetml/2006/main" count="213" uniqueCount="121">
  <si>
    <t xml:space="preserve">🔥  WEEK 3 — SUMIFS Practice (Multiple Conditions!)</t>
  </si>
  <si>
    <t xml:space="preserve">▼ SALES DATA (Multi-column — used in all SUMIFS below)</t>
  </si>
  <si>
    <t xml:space="preserve">▼ SUMIFS — Multiple Condition Results</t>
  </si>
  <si>
    <t xml:space="preserve">Region</t>
  </si>
  <si>
    <t xml:space="preserve">Category</t>
  </si>
  <si>
    <t xml:space="preserve">Sales (Rs)</t>
  </si>
  <si>
    <t xml:space="preserve">Gender</t>
  </si>
  <si>
    <t xml:space="preserve">Question (2+ Conditions)</t>
  </si>
  <si>
    <t xml:space="preserve">Result</t>
  </si>
  <si>
    <t xml:space="preserve">Formula</t>
  </si>
  <si>
    <t xml:space="preserve">Karachi</t>
  </si>
  <si>
    <t xml:space="preserve">Electronics</t>
  </si>
  <si>
    <t xml:space="preserve">Male</t>
  </si>
  <si>
    <t xml:space="preserve">Karachi + Electronics sales?</t>
  </si>
  <si>
    <t xml:space="preserve">Lahore</t>
  </si>
  <si>
    <t xml:space="preserve">Accessories</t>
  </si>
  <si>
    <t xml:space="preserve">Female</t>
  </si>
  <si>
    <t xml:space="preserve">Lahore + Accessories sales?</t>
  </si>
  <si>
    <t xml:space="preserve">Karachi + Male sales?</t>
  </si>
  <si>
    <t xml:space="preserve">Electronics + Female sales?</t>
  </si>
  <si>
    <t xml:space="preserve">Sales &gt;50000 in Karachi?</t>
  </si>
  <si>
    <t xml:space="preserve">Islamabad</t>
  </si>
  <si>
    <t xml:space="preserve">Islamabad + Electronics + Female?</t>
  </si>
  <si>
    <t xml:space="preserve">💡 SUMIFS Syntax: =SUMIFS(sum_range, range1, condition1, range2, condition2, ...)
   Add as many conditions as you need!</t>
  </si>
  <si>
    <t xml:space="preserve">🔢  WEEK 3 — COUNTIFS Practice</t>
  </si>
  <si>
    <t xml:space="preserve">▼ EMPLOYEE DATA</t>
  </si>
  <si>
    <t xml:space="preserve">▼ COUNTIFS — Count with Multiple Conditions</t>
  </si>
  <si>
    <t xml:space="preserve">Name</t>
  </si>
  <si>
    <t xml:space="preserve">Department</t>
  </si>
  <si>
    <t xml:space="preserve">City</t>
  </si>
  <si>
    <t xml:space="preserve">Salary</t>
  </si>
  <si>
    <t xml:space="preserve">Question</t>
  </si>
  <si>
    <t xml:space="preserve">Count</t>
  </si>
  <si>
    <t xml:space="preserve">Ahmed Khan</t>
  </si>
  <si>
    <t xml:space="preserve">Sales</t>
  </si>
  <si>
    <t xml:space="preserve">Sales dept in Karachi?</t>
  </si>
  <si>
    <t xml:space="preserve">Sara Ali</t>
  </si>
  <si>
    <t xml:space="preserve">HR</t>
  </si>
  <si>
    <t xml:space="preserve">IT dept in Lahore or Islamabad?</t>
  </si>
  <si>
    <t xml:space="preserve">Zain Malik</t>
  </si>
  <si>
    <t xml:space="preserve">Salary between 40k-50k?</t>
  </si>
  <si>
    <t xml:space="preserve">Fatima Raza</t>
  </si>
  <si>
    <t xml:space="preserve">IT</t>
  </si>
  <si>
    <t xml:space="preserve">HR dept?</t>
  </si>
  <si>
    <t xml:space="preserve">Usman Sheikh</t>
  </si>
  <si>
    <t xml:space="preserve">Sales dept salary &gt;45k?</t>
  </si>
  <si>
    <t xml:space="preserve">Bilal Ahmed</t>
  </si>
  <si>
    <t xml:space="preserve">Karachi employees salary &lt;45k?</t>
  </si>
  <si>
    <t xml:space="preserve">Hira Baig</t>
  </si>
  <si>
    <t xml:space="preserve">Kamran Ali</t>
  </si>
  <si>
    <t xml:space="preserve">💡 COUNTIFS counts rows matching ALL conditions. Use '&lt;&gt;' for NOT EQUAL, '&gt;=' for greater-equal</t>
  </si>
  <si>
    <t xml:space="preserve">Ayesha Khan</t>
  </si>
  <si>
    <t xml:space="preserve">Tariq Mehmood</t>
  </si>
  <si>
    <t xml:space="preserve">Nadia Shah</t>
  </si>
  <si>
    <t xml:space="preserve">Fahad Malik</t>
  </si>
  <si>
    <t xml:space="preserve">🛡️  WEEK 3 — IFERROR + LEFT / RIGHT / MID / TRIM</t>
  </si>
  <si>
    <t xml:space="preserve">Code</t>
  </si>
  <si>
    <t xml:space="preserve">Price</t>
  </si>
  <si>
    <t xml:space="preserve">Cat</t>
  </si>
  <si>
    <t xml:space="preserve">P001</t>
  </si>
  <si>
    <t xml:space="preserve">Laptop</t>
  </si>
  <si>
    <t xml:space="preserve">▼ IFERROR — Handle errors gracefully</t>
  </si>
  <si>
    <t xml:space="preserve">P002</t>
  </si>
  <si>
    <t xml:space="preserve">Mouse</t>
  </si>
  <si>
    <t xml:space="preserve">Product Code</t>
  </si>
  <si>
    <t xml:space="preserve">Price (Without IFERROR)</t>
  </si>
  <si>
    <t xml:space="preserve">Price (With IFERROR)</t>
  </si>
  <si>
    <t xml:space="preserve">Product Name</t>
  </si>
  <si>
    <t xml:space="preserve">P003</t>
  </si>
  <si>
    <t xml:space="preserve">Keyboard</t>
  </si>
  <si>
    <t xml:space="preserve">P999</t>
  </si>
  <si>
    <t xml:space="preserve">ERROR! (without IFERROR)</t>
  </si>
  <si>
    <t xml:space="preserve">XYZ</t>
  </si>
  <si>
    <t xml:space="preserve">P000</t>
  </si>
  <si>
    <t xml:space="preserve">Column B: shows raw ERROR  |  Column C: IFERROR gives friendly message  &lt;-- that is the difference!</t>
  </si>
  <si>
    <t xml:space="preserve">▼ TEXT Functions — LEFT, RIGHT, MID, TRIM</t>
  </si>
  <si>
    <t xml:space="preserve">Original Text</t>
  </si>
  <si>
    <t xml:space="preserve">LEFT</t>
  </si>
  <si>
    <t xml:space="preserve">RIGHT</t>
  </si>
  <si>
    <t xml:space="preserve">MID</t>
  </si>
  <si>
    <t xml:space="preserve">TRIM</t>
  </si>
  <si>
    <t xml:space="preserve">0300-1234567</t>
  </si>
  <si>
    <t xml:space="preserve">  Ahmed  Khan  </t>
  </si>
  <si>
    <t xml:space="preserve">PKR-12345</t>
  </si>
  <si>
    <t xml:space="preserve">EMP-2024-KHI</t>
  </si>
  <si>
    <t xml:space="preserve">  KARACHI  </t>
  </si>
  <si>
    <t xml:space="preserve">LEFT(text, n)
= first n chars</t>
  </si>
  <si>
    <t xml:space="preserve">RIGHT(text, n)
= last n chars</t>
  </si>
  <si>
    <t xml:space="preserve">MID(text, start, n)
= middle chars</t>
  </si>
  <si>
    <t xml:space="preserve">TRIM(text)
= removes extra spaces</t>
  </si>
  <si>
    <t xml:space="preserve">▼ REAL USE: Extract username from email address</t>
  </si>
  <si>
    <t xml:space="preserve">Email Address</t>
  </si>
  <si>
    <t xml:space="preserve">Username (LEFT+FIND)</t>
  </si>
  <si>
    <t xml:space="preserve">Domain</t>
  </si>
  <si>
    <t xml:space="preserve">ahmed.khan@company.com</t>
  </si>
  <si>
    <t xml:space="preserve">sara.ali@gmail.com</t>
  </si>
  <si>
    <t xml:space="preserve">zain@yahoo.com</t>
  </si>
  <si>
    <t xml:space="preserve">fatima.raza@company.com</t>
  </si>
  <si>
    <t xml:space="preserve">🏆  WEEK 3 — MEGA CHALLENGE (All Functions!)</t>
  </si>
  <si>
    <t xml:space="preserve">Scenario: MIS Bonus Calculator — Use SUMIFS, COUNTIFS, IFERROR, LEFT/MID/TRIM to build a complete report</t>
  </si>
  <si>
    <t xml:space="preserve">Raw Name
(Messy)</t>
  </si>
  <si>
    <t xml:space="preserve">Target</t>
  </si>
  <si>
    <t xml:space="preserve">Clean Name
(TRIM+PROPER)</t>
  </si>
  <si>
    <t xml:space="preserve">Bonus
(SUMIFS logic)</t>
  </si>
  <si>
    <t xml:space="preserve">  ahmed khan  </t>
  </si>
  <si>
    <t xml:space="preserve">SARA  ALI</t>
  </si>
  <si>
    <t xml:space="preserve">zain MALIK</t>
  </si>
  <si>
    <t xml:space="preserve">  FATIMA raza  </t>
  </si>
  <si>
    <t xml:space="preserve">USMAN sheikh</t>
  </si>
  <si>
    <t xml:space="preserve">bilal AHMED</t>
  </si>
  <si>
    <t xml:space="preserve">  hira baig  </t>
  </si>
  <si>
    <t xml:space="preserve">KAMRAN ali</t>
  </si>
  <si>
    <t xml:space="preserve">▼ SUMMARY USING SUMIFS &amp; COUNTIFS</t>
  </si>
  <si>
    <t xml:space="preserve">Metric</t>
  </si>
  <si>
    <t xml:space="preserve">Karachi Sales dept total sales?</t>
  </si>
  <si>
    <t xml:space="preserve">Sales dept count in Karachi?</t>
  </si>
  <si>
    <t xml:space="preserve">Total bonus amount?</t>
  </si>
  <si>
    <t xml:space="preserve">Sales dept who hit target (count)?</t>
  </si>
  <si>
    <t xml:space="preserve">VLOOKUP test with IFERROR (find 'HR'):</t>
  </si>
  <si>
    <t xml:space="preserve">Try: =IFERROR(VLOOKUP(...), Not Found)</t>
  </si>
  <si>
    <t xml:space="preserve">✅ All formulas are working — study them row by row. Then try building a similar report from scratch!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</si>
</sst>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10"/>
      <color rgb="FF7B2D8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DEEAF1"/>
      </patternFill>
    </fill>
    <fill>
      <patternFill patternType="solid">
        <fgColor rgb="FFFFF2CC"/>
        <bgColor rgb="FFFFE6E6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DEEAF1"/>
        <bgColor rgb="FFE2EFDA"/>
      </patternFill>
    </fill>
    <fill>
      <patternFill patternType="solid">
        <fgColor rgb="FF7B2D8B"/>
        <bgColor rgb="FF993366"/>
      </patternFill>
    </fill>
    <fill>
      <patternFill patternType="solid">
        <fgColor rgb="FFFFE6E6"/>
        <bgColor rgb="FFFFF2CC"/>
      </patternFill>
    </fill>
    <fill>
      <patternFill patternType="solid">
        <fgColor rgb="FF843C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6"/>
    <col collapsed="false" customWidth="true" hidden="false" outlineLevel="0" max="5" min="5" style="1" width="4"/>
    <col collapsed="false" customWidth="true" hidden="false" outlineLevel="0" max="6" min="6" style="1" width="28"/>
    <col collapsed="false" customWidth="true" hidden="false" outlineLevel="0" max="7" min="7" style="1" width="22"/>
    <col collapsed="false" customWidth="true" hidden="false" outlineLevel="0" max="8" min="8" style="1" width="3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/>
      <c r="C3" s="3"/>
      <c r="D3" s="3"/>
      <c r="F3" s="3" t="s">
        <v>2</v>
      </c>
      <c r="G3" s="3"/>
      <c r="H3" s="3"/>
    </row>
    <row r="4" customFormat="false" ht="1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true" outlineLevel="0" collapsed="false">
      <c r="A5" s="6" t="s">
        <v>10</v>
      </c>
      <c r="B5" s="6" t="s">
        <v>11</v>
      </c>
      <c r="C5" s="7" t="n">
        <v>75000</v>
      </c>
      <c r="D5" s="6" t="s">
        <v>12</v>
      </c>
      <c r="F5" s="8" t="s">
        <v>13</v>
      </c>
      <c r="G5" s="9" t="n">
        <f aca="false">SUMIFS(C5:C19,A5:A19,"Karachi",B5:B19,"Electronics")</f>
        <v>315000</v>
      </c>
      <c r="H5" s="10" t="n">
        <f aca="false">SUMIFS(C5:C19,A5:A19,"Karachi",B5:B19,"Electronics")</f>
        <v>315000</v>
      </c>
    </row>
    <row r="6" customFormat="false" ht="15" hidden="false" customHeight="true" outlineLevel="0" collapsed="false">
      <c r="A6" s="11" t="s">
        <v>14</v>
      </c>
      <c r="B6" s="11" t="s">
        <v>15</v>
      </c>
      <c r="C6" s="12" t="n">
        <v>500</v>
      </c>
      <c r="D6" s="11" t="s">
        <v>16</v>
      </c>
      <c r="F6" s="8" t="s">
        <v>17</v>
      </c>
      <c r="G6" s="9" t="n">
        <f aca="false">SUMIFS(C5:C19,A5:A19,"Lahore",B5:B19,"Accessories")</f>
        <v>1300</v>
      </c>
      <c r="H6" s="10" t="n">
        <f aca="false">SUMIFS(C5:C19,A5:A19,"Lahore",B5:B19,"Accessories")</f>
        <v>1300</v>
      </c>
    </row>
    <row r="7" customFormat="false" ht="15" hidden="false" customHeight="true" outlineLevel="0" collapsed="false">
      <c r="A7" s="6" t="s">
        <v>10</v>
      </c>
      <c r="B7" s="6" t="s">
        <v>15</v>
      </c>
      <c r="C7" s="7" t="n">
        <v>600</v>
      </c>
      <c r="D7" s="6" t="s">
        <v>16</v>
      </c>
      <c r="F7" s="8" t="s">
        <v>18</v>
      </c>
      <c r="G7" s="9" t="n">
        <f aca="false">SUMIFS(C5:C19,A5:A19,"Karachi",D5:D19,"Male")</f>
        <v>250500</v>
      </c>
      <c r="H7" s="10" t="n">
        <f aca="false">SUMIFS(C5:C19,A5:A19,"Karachi",D5:D19,"Male")</f>
        <v>250500</v>
      </c>
    </row>
    <row r="8" customFormat="false" ht="15" hidden="false" customHeight="true" outlineLevel="0" collapsed="false">
      <c r="A8" s="11" t="s">
        <v>10</v>
      </c>
      <c r="B8" s="11" t="s">
        <v>11</v>
      </c>
      <c r="C8" s="12" t="n">
        <v>80000</v>
      </c>
      <c r="D8" s="11" t="s">
        <v>12</v>
      </c>
      <c r="F8" s="8" t="s">
        <v>19</v>
      </c>
      <c r="G8" s="9" t="n">
        <f aca="false">SUMIFS(C5:C19,B5:B19,"Electronics",D5:D19,"Female")</f>
        <v>300000</v>
      </c>
      <c r="H8" s="10" t="n">
        <f aca="false">SUMIFS(C5:C19,B5:B19,"Electronics",D5:D19,"Female")</f>
        <v>300000</v>
      </c>
    </row>
    <row r="9" customFormat="false" ht="15" hidden="false" customHeight="true" outlineLevel="0" collapsed="false">
      <c r="A9" s="6" t="s">
        <v>14</v>
      </c>
      <c r="B9" s="6" t="s">
        <v>11</v>
      </c>
      <c r="C9" s="7" t="n">
        <v>72000</v>
      </c>
      <c r="D9" s="6" t="s">
        <v>16</v>
      </c>
      <c r="F9" s="8" t="s">
        <v>20</v>
      </c>
      <c r="G9" s="9" t="n">
        <f aca="false">SUMIFS(C5:C19,A5:A19,"Karachi",C5:C19,"&gt;50000")</f>
        <v>315000</v>
      </c>
      <c r="H9" s="10" t="n">
        <f aca="false">SUMIFS(C5:C19,A5:A19,"Karachi",C5:C19,"&gt;50000")</f>
        <v>315000</v>
      </c>
    </row>
    <row r="10" customFormat="false" ht="23.25" hidden="false" customHeight="true" outlineLevel="0" collapsed="false">
      <c r="A10" s="11" t="s">
        <v>21</v>
      </c>
      <c r="B10" s="11" t="s">
        <v>15</v>
      </c>
      <c r="C10" s="12" t="n">
        <v>1200</v>
      </c>
      <c r="D10" s="11" t="s">
        <v>12</v>
      </c>
      <c r="F10" s="8" t="s">
        <v>22</v>
      </c>
      <c r="G10" s="9" t="n">
        <f aca="false">SUMIFS(C5:C19,A5:A19,"Islamabad",B5:B19,"Electronics",D5:D19,"Female")</f>
        <v>115000</v>
      </c>
      <c r="H10" s="10" t="n">
        <f aca="false">SUMIFS(C5:C19,A5:A19,"Islamabad",B5:B19,"Electronics",D5:D19,"Female")</f>
        <v>115000</v>
      </c>
    </row>
    <row r="11" customFormat="false" ht="15" hidden="false" customHeight="true" outlineLevel="0" collapsed="false">
      <c r="A11" s="6" t="s">
        <v>10</v>
      </c>
      <c r="B11" s="6" t="s">
        <v>11</v>
      </c>
      <c r="C11" s="7" t="n">
        <v>68000</v>
      </c>
      <c r="D11" s="6" t="s">
        <v>16</v>
      </c>
    </row>
    <row r="12" customFormat="false" ht="36" hidden="false" customHeight="true" outlineLevel="0" collapsed="false">
      <c r="A12" s="11" t="s">
        <v>14</v>
      </c>
      <c r="B12" s="11" t="s">
        <v>15</v>
      </c>
      <c r="C12" s="12" t="n">
        <v>800</v>
      </c>
      <c r="D12" s="11" t="s">
        <v>12</v>
      </c>
      <c r="F12" s="3" t="s">
        <v>23</v>
      </c>
      <c r="G12" s="3"/>
      <c r="H12" s="3"/>
    </row>
    <row r="13" customFormat="false" ht="15" hidden="false" customHeight="true" outlineLevel="0" collapsed="false">
      <c r="A13" s="6" t="s">
        <v>21</v>
      </c>
      <c r="B13" s="6" t="s">
        <v>11</v>
      </c>
      <c r="C13" s="7" t="n">
        <v>55000</v>
      </c>
      <c r="D13" s="6" t="s">
        <v>16</v>
      </c>
    </row>
    <row r="14" customFormat="false" ht="15" hidden="false" customHeight="true" outlineLevel="0" collapsed="false">
      <c r="A14" s="11" t="s">
        <v>10</v>
      </c>
      <c r="B14" s="11" t="s">
        <v>15</v>
      </c>
      <c r="C14" s="12" t="n">
        <v>3500</v>
      </c>
      <c r="D14" s="11" t="s">
        <v>12</v>
      </c>
    </row>
    <row r="15" customFormat="false" ht="15" hidden="false" customHeight="true" outlineLevel="0" collapsed="false">
      <c r="A15" s="6" t="s">
        <v>14</v>
      </c>
      <c r="B15" s="6" t="s">
        <v>11</v>
      </c>
      <c r="C15" s="7" t="n">
        <v>71000</v>
      </c>
      <c r="D15" s="6" t="s">
        <v>12</v>
      </c>
    </row>
    <row r="16" customFormat="false" ht="15" hidden="false" customHeight="true" outlineLevel="0" collapsed="false">
      <c r="A16" s="11" t="s">
        <v>21</v>
      </c>
      <c r="B16" s="11" t="s">
        <v>11</v>
      </c>
      <c r="C16" s="12" t="n">
        <v>60000</v>
      </c>
      <c r="D16" s="11" t="s">
        <v>16</v>
      </c>
    </row>
    <row r="17" customFormat="false" ht="15" hidden="false" customHeight="true" outlineLevel="0" collapsed="false">
      <c r="A17" s="6" t="s">
        <v>10</v>
      </c>
      <c r="B17" s="6" t="s">
        <v>11</v>
      </c>
      <c r="C17" s="7" t="n">
        <v>92000</v>
      </c>
      <c r="D17" s="6" t="s">
        <v>12</v>
      </c>
    </row>
    <row r="18" customFormat="false" ht="15" hidden="false" customHeight="true" outlineLevel="0" collapsed="false">
      <c r="A18" s="11" t="s">
        <v>14</v>
      </c>
      <c r="B18" s="11" t="s">
        <v>11</v>
      </c>
      <c r="C18" s="12" t="n">
        <v>45000</v>
      </c>
      <c r="D18" s="11" t="s">
        <v>16</v>
      </c>
    </row>
    <row r="19" customFormat="false" ht="15" hidden="false" customHeight="true" outlineLevel="0" collapsed="false">
      <c r="A19" s="6" t="s">
        <v>10</v>
      </c>
      <c r="B19" s="6" t="s">
        <v>15</v>
      </c>
      <c r="C19" s="7" t="n">
        <v>2200</v>
      </c>
      <c r="D19" s="6" t="s">
        <v>16</v>
      </c>
    </row>
  </sheetData>
  <mergeCells count="4">
    <mergeCell ref="A1:H1"/>
    <mergeCell ref="A3:D3"/>
    <mergeCell ref="F3:H3"/>
    <mergeCell ref="F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6"/>
    <col collapsed="false" customWidth="true" hidden="false" outlineLevel="0" max="5" min="5" style="1" width="4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32"/>
  </cols>
  <sheetData>
    <row r="1" customFormat="false" ht="31.5" hidden="false" customHeight="true" outlineLevel="0" collapsed="false">
      <c r="A1" s="13" t="s">
        <v>24</v>
      </c>
      <c r="B1" s="13"/>
      <c r="C1" s="13"/>
      <c r="D1" s="13"/>
      <c r="E1" s="13"/>
      <c r="F1" s="13"/>
      <c r="G1" s="13"/>
      <c r="H1" s="13"/>
    </row>
    <row r="3" customFormat="false" ht="15" hidden="false" customHeight="true" outlineLevel="0" collapsed="false">
      <c r="A3" s="3" t="s">
        <v>25</v>
      </c>
      <c r="B3" s="3"/>
      <c r="C3" s="3"/>
      <c r="D3" s="3"/>
      <c r="F3" s="3" t="s">
        <v>26</v>
      </c>
      <c r="G3" s="3"/>
      <c r="H3" s="3"/>
    </row>
    <row r="4" customFormat="false" ht="15" hidden="false" customHeight="true" outlineLevel="0" collapsed="false">
      <c r="A4" s="14" t="s">
        <v>27</v>
      </c>
      <c r="B4" s="14" t="s">
        <v>28</v>
      </c>
      <c r="C4" s="14" t="s">
        <v>29</v>
      </c>
      <c r="D4" s="14" t="s">
        <v>30</v>
      </c>
      <c r="F4" s="4" t="s">
        <v>31</v>
      </c>
      <c r="G4" s="4" t="s">
        <v>32</v>
      </c>
      <c r="H4" s="4" t="s">
        <v>9</v>
      </c>
    </row>
    <row r="5" customFormat="false" ht="15" hidden="false" customHeight="true" outlineLevel="0" collapsed="false">
      <c r="A5" s="6" t="s">
        <v>33</v>
      </c>
      <c r="B5" s="6" t="s">
        <v>34</v>
      </c>
      <c r="C5" s="6" t="s">
        <v>10</v>
      </c>
      <c r="D5" s="7" t="n">
        <v>45000</v>
      </c>
      <c r="F5" s="8" t="s">
        <v>35</v>
      </c>
      <c r="G5" s="15" t="n">
        <f aca="false">COUNTIFS(B5:B16,"Sales",C5:C16,"Karachi")</f>
        <v>4</v>
      </c>
      <c r="H5" s="10" t="n">
        <f aca="false">COUNTIFS(B5:B16,"Sales",C5:C16,"Karachi")</f>
        <v>4</v>
      </c>
    </row>
    <row r="6" customFormat="false" ht="15" hidden="false" customHeight="true" outlineLevel="0" collapsed="false">
      <c r="A6" s="11" t="s">
        <v>36</v>
      </c>
      <c r="B6" s="11" t="s">
        <v>37</v>
      </c>
      <c r="C6" s="11" t="s">
        <v>14</v>
      </c>
      <c r="D6" s="12" t="n">
        <v>38000</v>
      </c>
      <c r="F6" s="8" t="s">
        <v>38</v>
      </c>
      <c r="G6" s="15" t="n">
        <f aca="false">COUNTIFS(B5:B16,"IT",C5:C16,"&lt;&gt;Karachi")</f>
        <v>2</v>
      </c>
      <c r="H6" s="10" t="n">
        <f aca="false">COUNTIFS(B5:B16,"IT",C5:C16,"&lt;&gt;Karachi")</f>
        <v>2</v>
      </c>
    </row>
    <row r="7" customFormat="false" ht="15" hidden="false" customHeight="true" outlineLevel="0" collapsed="false">
      <c r="A7" s="6" t="s">
        <v>39</v>
      </c>
      <c r="B7" s="6" t="s">
        <v>34</v>
      </c>
      <c r="C7" s="6" t="s">
        <v>10</v>
      </c>
      <c r="D7" s="7" t="n">
        <v>42000</v>
      </c>
      <c r="F7" s="8" t="s">
        <v>40</v>
      </c>
      <c r="G7" s="15" t="n">
        <f aca="false">COUNTIFS(D5:D16,"&gt;=40000",D5:D16,"&lt;=50000")</f>
        <v>6</v>
      </c>
      <c r="H7" s="10" t="n">
        <f aca="false">COUNTIFS(D5:D16,"&gt;=40000",D5:D16,"&lt;=50000")</f>
        <v>6</v>
      </c>
    </row>
    <row r="8" customFormat="false" ht="15" hidden="false" customHeight="true" outlineLevel="0" collapsed="false">
      <c r="A8" s="11" t="s">
        <v>41</v>
      </c>
      <c r="B8" s="11" t="s">
        <v>42</v>
      </c>
      <c r="C8" s="11" t="s">
        <v>21</v>
      </c>
      <c r="D8" s="12" t="n">
        <v>55000</v>
      </c>
      <c r="F8" s="8" t="s">
        <v>43</v>
      </c>
      <c r="G8" s="15" t="n">
        <f aca="false">COUNTIFS(B5:B16,"HR")</f>
        <v>3</v>
      </c>
      <c r="H8" s="10" t="n">
        <f aca="false">COUNTIFS(B5:B16,"HR")</f>
        <v>3</v>
      </c>
    </row>
    <row r="9" customFormat="false" ht="15" hidden="false" customHeight="true" outlineLevel="0" collapsed="false">
      <c r="A9" s="6" t="s">
        <v>44</v>
      </c>
      <c r="B9" s="6" t="s">
        <v>34</v>
      </c>
      <c r="C9" s="6" t="s">
        <v>14</v>
      </c>
      <c r="D9" s="7" t="n">
        <v>48000</v>
      </c>
      <c r="F9" s="8" t="s">
        <v>45</v>
      </c>
      <c r="G9" s="15" t="n">
        <f aca="false">COUNTIFS(B5:B16,"Sales",D5:D16,"&gt;45000")</f>
        <v>2</v>
      </c>
      <c r="H9" s="10" t="n">
        <f aca="false">COUNTIFS(B5:B16,"Sales",D5:D16,"&gt;45000")</f>
        <v>2</v>
      </c>
    </row>
    <row r="10" customFormat="false" ht="23.25" hidden="false" customHeight="true" outlineLevel="0" collapsed="false">
      <c r="A10" s="11" t="s">
        <v>46</v>
      </c>
      <c r="B10" s="11" t="s">
        <v>37</v>
      </c>
      <c r="C10" s="11" t="s">
        <v>10</v>
      </c>
      <c r="D10" s="12" t="n">
        <v>36000</v>
      </c>
      <c r="F10" s="8" t="s">
        <v>47</v>
      </c>
      <c r="G10" s="15" t="n">
        <f aca="false">COUNTIFS(C5:C16,"Karachi",D5:D16,"&lt;45000")</f>
        <v>3</v>
      </c>
      <c r="H10" s="10" t="n">
        <f aca="false">COUNTIFS(C5:C16,"Karachi",D5:D16,"&lt;45000")</f>
        <v>3</v>
      </c>
    </row>
    <row r="11" customFormat="false" ht="15" hidden="false" customHeight="true" outlineLevel="0" collapsed="false">
      <c r="A11" s="6" t="s">
        <v>48</v>
      </c>
      <c r="B11" s="6" t="s">
        <v>42</v>
      </c>
      <c r="C11" s="6" t="s">
        <v>10</v>
      </c>
      <c r="D11" s="7" t="n">
        <v>60000</v>
      </c>
    </row>
    <row r="12" customFormat="false" ht="24" hidden="false" customHeight="true" outlineLevel="0" collapsed="false">
      <c r="A12" s="11" t="s">
        <v>49</v>
      </c>
      <c r="B12" s="11" t="s">
        <v>34</v>
      </c>
      <c r="C12" s="11" t="s">
        <v>21</v>
      </c>
      <c r="D12" s="12" t="n">
        <v>41000</v>
      </c>
      <c r="F12" s="3" t="s">
        <v>50</v>
      </c>
      <c r="G12" s="3"/>
      <c r="H12" s="3"/>
    </row>
    <row r="13" customFormat="false" ht="15" hidden="false" customHeight="true" outlineLevel="0" collapsed="false">
      <c r="A13" s="6" t="s">
        <v>51</v>
      </c>
      <c r="B13" s="6" t="s">
        <v>34</v>
      </c>
      <c r="C13" s="6" t="s">
        <v>10</v>
      </c>
      <c r="D13" s="7" t="n">
        <v>44000</v>
      </c>
    </row>
    <row r="14" customFormat="false" ht="15" hidden="false" customHeight="true" outlineLevel="0" collapsed="false">
      <c r="A14" s="11" t="s">
        <v>52</v>
      </c>
      <c r="B14" s="11" t="s">
        <v>42</v>
      </c>
      <c r="C14" s="11" t="s">
        <v>14</v>
      </c>
      <c r="D14" s="12" t="n">
        <v>58000</v>
      </c>
    </row>
    <row r="15" customFormat="false" ht="15" hidden="false" customHeight="true" outlineLevel="0" collapsed="false">
      <c r="A15" s="6" t="s">
        <v>53</v>
      </c>
      <c r="B15" s="6" t="s">
        <v>37</v>
      </c>
      <c r="C15" s="6" t="s">
        <v>21</v>
      </c>
      <c r="D15" s="7" t="n">
        <v>39000</v>
      </c>
    </row>
    <row r="16" customFormat="false" ht="15" hidden="false" customHeight="true" outlineLevel="0" collapsed="false">
      <c r="A16" s="11" t="s">
        <v>54</v>
      </c>
      <c r="B16" s="11" t="s">
        <v>34</v>
      </c>
      <c r="C16" s="11" t="s">
        <v>10</v>
      </c>
      <c r="D16" s="12" t="n">
        <v>47000</v>
      </c>
    </row>
  </sheetData>
  <mergeCells count="4">
    <mergeCell ref="A1:H1"/>
    <mergeCell ref="A3:D3"/>
    <mergeCell ref="F3:H3"/>
    <mergeCell ref="F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4"/>
    <col collapsed="false" customWidth="true" hidden="false" outlineLevel="0" max="5" min="4" style="1" width="26"/>
  </cols>
  <sheetData>
    <row r="1" customFormat="false" ht="31.5" hidden="false" customHeight="true" outlineLevel="0" collapsed="false">
      <c r="A1" s="16" t="s">
        <v>55</v>
      </c>
      <c r="B1" s="16"/>
      <c r="C1" s="16"/>
      <c r="D1" s="16"/>
      <c r="E1" s="16"/>
      <c r="G1" s="1" t="s">
        <v>56</v>
      </c>
      <c r="H1" s="1" t="s">
        <v>27</v>
      </c>
      <c r="I1" s="1" t="s">
        <v>57</v>
      </c>
      <c r="J1" s="1" t="s">
        <v>58</v>
      </c>
    </row>
    <row r="2" customFormat="false" ht="15" hidden="false" customHeight="true" outlineLevel="0" collapsed="false">
      <c r="G2" s="1" t="s">
        <v>59</v>
      </c>
      <c r="H2" s="1" t="s">
        <v>60</v>
      </c>
      <c r="I2" s="1" t="n">
        <v>75000</v>
      </c>
      <c r="J2" s="1" t="s">
        <v>11</v>
      </c>
    </row>
    <row r="3" customFormat="false" ht="15" hidden="false" customHeight="true" outlineLevel="0" collapsed="false">
      <c r="A3" s="3" t="s">
        <v>61</v>
      </c>
      <c r="B3" s="3"/>
      <c r="C3" s="3"/>
      <c r="D3" s="3"/>
      <c r="E3" s="3"/>
      <c r="G3" s="1" t="s">
        <v>62</v>
      </c>
      <c r="H3" s="1" t="s">
        <v>63</v>
      </c>
      <c r="I3" s="1" t="n">
        <v>500</v>
      </c>
      <c r="J3" s="1" t="s">
        <v>15</v>
      </c>
    </row>
    <row r="4" customFormat="false" ht="26.25" hidden="false" customHeight="true" outlineLevel="0" collapsed="false">
      <c r="A4" s="17" t="s">
        <v>64</v>
      </c>
      <c r="B4" s="17" t="s">
        <v>65</v>
      </c>
      <c r="C4" s="17" t="s">
        <v>66</v>
      </c>
      <c r="D4" s="17" t="s">
        <v>67</v>
      </c>
      <c r="E4" s="17" t="s">
        <v>4</v>
      </c>
      <c r="G4" s="1" t="s">
        <v>68</v>
      </c>
      <c r="H4" s="1" t="s">
        <v>69</v>
      </c>
      <c r="I4" s="1" t="n">
        <v>1200</v>
      </c>
      <c r="J4" s="1" t="s">
        <v>15</v>
      </c>
    </row>
    <row r="5" customFormat="false" ht="15" hidden="false" customHeight="true" outlineLevel="0" collapsed="false">
      <c r="A5" s="18" t="s">
        <v>59</v>
      </c>
      <c r="B5" s="19" t="n">
        <f aca="false">VLOOKUP(A5,$G$2:$J$4,3,FALSE())</f>
        <v>75000</v>
      </c>
      <c r="C5" s="20" t="n">
        <f aca="false">IFERROR(VLOOKUP(A5,$G$2:$J$4,3,FALSE()),"❌ Not Found")</f>
        <v>75000</v>
      </c>
      <c r="D5" s="20" t="str">
        <f aca="false">IFERROR(VLOOKUP(A5,$G$2:$J$4,2,FALSE()),"-")</f>
        <v>Laptop</v>
      </c>
      <c r="E5" s="20" t="str">
        <f aca="false">IFERROR(VLOOKUP(A5,$G$2:$J$4,4,FALSE()),"-")</f>
        <v>Electronics</v>
      </c>
    </row>
    <row r="6" customFormat="false" ht="15" hidden="false" customHeight="true" outlineLevel="0" collapsed="false">
      <c r="A6" s="18" t="s">
        <v>70</v>
      </c>
      <c r="B6" s="21" t="s">
        <v>71</v>
      </c>
      <c r="C6" s="20" t="str">
        <f aca="false">IFERROR(VLOOKUP(A6,$G$2:$J$4,3,FALSE()),"❌ Not Found")</f>
        <v>❌ Not Found</v>
      </c>
      <c r="D6" s="20" t="str">
        <f aca="false">IFERROR(VLOOKUP(A6,$G$2:$J$4,2,FALSE()),"-")</f>
        <v>-</v>
      </c>
      <c r="E6" s="20" t="str">
        <f aca="false">IFERROR(VLOOKUP(A6,$G$2:$J$4,4,FALSE()),"-")</f>
        <v>-</v>
      </c>
    </row>
    <row r="7" customFormat="false" ht="15" hidden="false" customHeight="true" outlineLevel="0" collapsed="false">
      <c r="A7" s="18" t="s">
        <v>62</v>
      </c>
      <c r="B7" s="19" t="n">
        <f aca="false">VLOOKUP(A7,$G$2:$J$4,3,FALSE())</f>
        <v>500</v>
      </c>
      <c r="C7" s="20" t="n">
        <f aca="false">IFERROR(VLOOKUP(A7,$G$2:$J$4,3,FALSE()),"❌ Not Found")</f>
        <v>500</v>
      </c>
      <c r="D7" s="20" t="str">
        <f aca="false">IFERROR(VLOOKUP(A7,$G$2:$J$4,2,FALSE()),"-")</f>
        <v>Mouse</v>
      </c>
      <c r="E7" s="20" t="str">
        <f aca="false">IFERROR(VLOOKUP(A7,$G$2:$J$4,4,FALSE()),"-")</f>
        <v>Accessories</v>
      </c>
    </row>
    <row r="8" customFormat="false" ht="15" hidden="false" customHeight="true" outlineLevel="0" collapsed="false">
      <c r="A8" s="18" t="s">
        <v>72</v>
      </c>
      <c r="B8" s="21" t="s">
        <v>71</v>
      </c>
      <c r="C8" s="20" t="str">
        <f aca="false">IFERROR(VLOOKUP(A8,$G$2:$J$4,3,FALSE()),"❌ Not Found")</f>
        <v>❌ Not Found</v>
      </c>
      <c r="D8" s="20" t="str">
        <f aca="false">IFERROR(VLOOKUP(A8,$G$2:$J$4,2,FALSE()),"-")</f>
        <v>-</v>
      </c>
      <c r="E8" s="20" t="str">
        <f aca="false">IFERROR(VLOOKUP(A8,$G$2:$J$4,4,FALSE()),"-")</f>
        <v>-</v>
      </c>
    </row>
    <row r="9" customFormat="false" ht="15" hidden="false" customHeight="true" outlineLevel="0" collapsed="false">
      <c r="A9" s="18" t="s">
        <v>68</v>
      </c>
      <c r="B9" s="19" t="n">
        <f aca="false">VLOOKUP(A9,$G$2:$J$4,3,FALSE())</f>
        <v>1200</v>
      </c>
      <c r="C9" s="20" t="n">
        <f aca="false">IFERROR(VLOOKUP(A9,$G$2:$J$4,3,FALSE()),"❌ Not Found")</f>
        <v>1200</v>
      </c>
      <c r="D9" s="20" t="str">
        <f aca="false">IFERROR(VLOOKUP(A9,$G$2:$J$4,2,FALSE()),"-")</f>
        <v>Keyboard</v>
      </c>
      <c r="E9" s="20" t="str">
        <f aca="false">IFERROR(VLOOKUP(A9,$G$2:$J$4,4,FALSE()),"-")</f>
        <v>Accessories</v>
      </c>
    </row>
    <row r="10" customFormat="false" ht="15" hidden="false" customHeight="true" outlineLevel="0" collapsed="false">
      <c r="A10" s="18" t="s">
        <v>73</v>
      </c>
      <c r="B10" s="21" t="s">
        <v>71</v>
      </c>
      <c r="C10" s="20" t="str">
        <f aca="false">IFERROR(VLOOKUP(A10,$G$2:$J$4,3,FALSE()),"❌ Not Found")</f>
        <v>❌ Not Found</v>
      </c>
      <c r="D10" s="20" t="str">
        <f aca="false">IFERROR(VLOOKUP(A10,$G$2:$J$4,2,FALSE()),"-")</f>
        <v>-</v>
      </c>
      <c r="E10" s="20" t="str">
        <f aca="false">IFERROR(VLOOKUP(A10,$G$2:$J$4,4,FALSE()),"-")</f>
        <v>-</v>
      </c>
    </row>
    <row r="11" customFormat="false" ht="15" hidden="false" customHeight="true" outlineLevel="0" collapsed="false">
      <c r="A11" s="18" t="s">
        <v>62</v>
      </c>
      <c r="B11" s="19" t="n">
        <f aca="false">VLOOKUP(A11,$G$2:$J$4,3,FALSE())</f>
        <v>500</v>
      </c>
      <c r="C11" s="20" t="n">
        <f aca="false">IFERROR(VLOOKUP(A11,$G$2:$J$4,3,FALSE()),"❌ Not Found")</f>
        <v>500</v>
      </c>
      <c r="D11" s="20" t="str">
        <f aca="false">IFERROR(VLOOKUP(A11,$G$2:$J$4,2,FALSE()),"-")</f>
        <v>Mouse</v>
      </c>
      <c r="E11" s="20" t="str">
        <f aca="false">IFERROR(VLOOKUP(A11,$G$2:$J$4,4,FALSE()),"-")</f>
        <v>Accessories</v>
      </c>
    </row>
    <row r="13" customFormat="false" ht="19.5" hidden="false" customHeight="true" outlineLevel="0" collapsed="false">
      <c r="A13" s="22" t="s">
        <v>74</v>
      </c>
      <c r="B13" s="22"/>
      <c r="C13" s="22"/>
      <c r="D13" s="22"/>
      <c r="E13" s="22"/>
    </row>
    <row r="15" customFormat="false" ht="15" hidden="false" customHeight="true" outlineLevel="0" collapsed="false">
      <c r="A15" s="3" t="s">
        <v>75</v>
      </c>
      <c r="B15" s="3"/>
      <c r="C15" s="3"/>
      <c r="D15" s="3"/>
      <c r="E15" s="3"/>
    </row>
    <row r="16" customFormat="false" ht="15" hidden="false" customHeight="true" outlineLevel="0" collapsed="false">
      <c r="A16" s="4" t="s">
        <v>76</v>
      </c>
      <c r="B16" s="4" t="s">
        <v>77</v>
      </c>
      <c r="C16" s="4" t="s">
        <v>78</v>
      </c>
      <c r="D16" s="4" t="s">
        <v>79</v>
      </c>
      <c r="E16" s="4" t="s">
        <v>80</v>
      </c>
    </row>
    <row r="17" customFormat="false" ht="15" hidden="false" customHeight="true" outlineLevel="0" collapsed="false">
      <c r="A17" s="18" t="s">
        <v>81</v>
      </c>
      <c r="B17" s="20" t="str">
        <f aca="false">LEFT(A17,4)</f>
        <v>0300</v>
      </c>
      <c r="C17" s="20" t="str">
        <f aca="false">RIGHT(A17,7)</f>
        <v>1234567</v>
      </c>
      <c r="D17" s="20" t="str">
        <f aca="false">MID(A17,6,7)</f>
        <v>1234567</v>
      </c>
      <c r="E17" s="20" t="str">
        <f aca="false">TRIM(A17)</f>
        <v>0300-1234567</v>
      </c>
    </row>
    <row r="18" customFormat="false" ht="15" hidden="false" customHeight="true" outlineLevel="0" collapsed="false">
      <c r="A18" s="18" t="s">
        <v>82</v>
      </c>
      <c r="B18" s="20" t="str">
        <f aca="false">LEFT(A18,5)</f>
        <v>  Ahm</v>
      </c>
      <c r="C18" s="20" t="str">
        <f aca="false">RIGHT(A18,4)</f>
        <v>an  </v>
      </c>
      <c r="D18" s="20" t="str">
        <f aca="false">MID(A18,3,5)</f>
        <v>Ahmed</v>
      </c>
      <c r="E18" s="20" t="str">
        <f aca="false">TRIM(A18)</f>
        <v>Ahmed Khan</v>
      </c>
    </row>
    <row r="19" customFormat="false" ht="15" hidden="false" customHeight="true" outlineLevel="0" collapsed="false">
      <c r="A19" s="18" t="s">
        <v>83</v>
      </c>
      <c r="B19" s="20" t="str">
        <f aca="false">LEFT(A19,3)</f>
        <v>PKR</v>
      </c>
      <c r="C19" s="20" t="str">
        <f aca="false">RIGHT(A19,5)</f>
        <v>12345</v>
      </c>
      <c r="D19" s="20" t="str">
        <f aca="false">MID(A19,5,5)</f>
        <v>12345</v>
      </c>
      <c r="E19" s="20" t="str">
        <f aca="false">TRIM(A19)</f>
        <v>PKR-12345</v>
      </c>
    </row>
    <row r="20" customFormat="false" ht="15" hidden="false" customHeight="true" outlineLevel="0" collapsed="false">
      <c r="A20" s="18" t="s">
        <v>84</v>
      </c>
      <c r="B20" s="20" t="str">
        <f aca="false">LEFT(A20,3)</f>
        <v>EMP</v>
      </c>
      <c r="C20" s="20" t="str">
        <f aca="false">RIGHT(A20,3)</f>
        <v>KHI</v>
      </c>
      <c r="D20" s="20" t="str">
        <f aca="false">MID(A20,5,4)</f>
        <v>2024</v>
      </c>
      <c r="E20" s="20" t="str">
        <f aca="false">TRIM(A20)</f>
        <v>EMP-2024-KHI</v>
      </c>
    </row>
    <row r="21" customFormat="false" ht="15" hidden="false" customHeight="true" outlineLevel="0" collapsed="false">
      <c r="A21" s="18" t="s">
        <v>85</v>
      </c>
      <c r="B21" s="20" t="str">
        <f aca="false">LEFT(A21,5)</f>
        <v>  KAR</v>
      </c>
      <c r="C21" s="20" t="str">
        <f aca="false">RIGHT(A21,3)</f>
        <v>I  </v>
      </c>
      <c r="D21" s="20" t="str">
        <f aca="false">MID(A21,3,7)</f>
        <v>KARACHI</v>
      </c>
      <c r="E21" s="20" t="str">
        <f aca="false">TRIM(A21)</f>
        <v>KARACHI</v>
      </c>
    </row>
    <row r="23" customFormat="false" ht="36" hidden="false" customHeight="true" outlineLevel="0" collapsed="false">
      <c r="A23" s="14" t="s">
        <v>86</v>
      </c>
      <c r="B23" s="14" t="s">
        <v>87</v>
      </c>
      <c r="C23" s="14" t="s">
        <v>88</v>
      </c>
      <c r="D23" s="14" t="s">
        <v>89</v>
      </c>
    </row>
    <row r="25" customFormat="false" ht="15" hidden="false" customHeight="true" outlineLevel="0" collapsed="false">
      <c r="A25" s="3" t="s">
        <v>90</v>
      </c>
      <c r="B25" s="3"/>
      <c r="C25" s="3"/>
      <c r="D25" s="3"/>
      <c r="E25" s="3"/>
    </row>
    <row r="26" customFormat="false" ht="15" hidden="false" customHeight="true" outlineLevel="0" collapsed="false">
      <c r="A26" s="5" t="s">
        <v>91</v>
      </c>
      <c r="B26" s="5" t="s">
        <v>92</v>
      </c>
      <c r="C26" s="5" t="s">
        <v>93</v>
      </c>
    </row>
    <row r="27" customFormat="false" ht="15" hidden="false" customHeight="true" outlineLevel="0" collapsed="false">
      <c r="A27" s="18" t="s">
        <v>94</v>
      </c>
      <c r="B27" s="20" t="str">
        <f aca="false">LEFT(A27,FIND("@",A27)-1)</f>
        <v>ahmed.khan</v>
      </c>
      <c r="C27" s="20" t="str">
        <f aca="false">MID(A27,FIND("@",A27)+1,100)</f>
        <v>company.com</v>
      </c>
    </row>
    <row r="28" customFormat="false" ht="15" hidden="false" customHeight="true" outlineLevel="0" collapsed="false">
      <c r="A28" s="18" t="s">
        <v>95</v>
      </c>
      <c r="B28" s="20" t="str">
        <f aca="false">LEFT(A28,FIND("@",A28)-1)</f>
        <v>sara.ali</v>
      </c>
      <c r="C28" s="20" t="str">
        <f aca="false">MID(A28,FIND("@",A28)+1,100)</f>
        <v>gmail.com</v>
      </c>
    </row>
    <row r="29" customFormat="false" ht="15" hidden="false" customHeight="true" outlineLevel="0" collapsed="false">
      <c r="A29" s="18" t="s">
        <v>96</v>
      </c>
      <c r="B29" s="20" t="str">
        <f aca="false">LEFT(A29,FIND("@",A29)-1)</f>
        <v>zain</v>
      </c>
      <c r="C29" s="20" t="str">
        <f aca="false">MID(A29,FIND("@",A29)+1,100)</f>
        <v>yahoo.com</v>
      </c>
    </row>
    <row r="30" customFormat="false" ht="15" hidden="false" customHeight="true" outlineLevel="0" collapsed="false">
      <c r="A30" s="18" t="s">
        <v>97</v>
      </c>
      <c r="B30" s="20" t="str">
        <f aca="false">LEFT(A30,FIND("@",A30)-1)</f>
        <v>fatima.raza</v>
      </c>
      <c r="C30" s="20" t="str">
        <f aca="false">MID(A30,FIND("@",A30)+1,100)</f>
        <v>company.com</v>
      </c>
    </row>
  </sheetData>
  <mergeCells count="5">
    <mergeCell ref="A1:E1"/>
    <mergeCell ref="A3:E3"/>
    <mergeCell ref="A13:E13"/>
    <mergeCell ref="A15:E15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20"/>
    <col collapsed="false" customWidth="true" hidden="false" outlineLevel="0" max="7" min="7" style="1" width="28"/>
  </cols>
  <sheetData>
    <row r="1" customFormat="false" ht="31.5" hidden="false" customHeight="true" outlineLevel="0" collapsed="false">
      <c r="A1" s="23" t="s">
        <v>98</v>
      </c>
      <c r="B1" s="23"/>
      <c r="C1" s="23"/>
      <c r="D1" s="23"/>
      <c r="E1" s="23"/>
      <c r="F1" s="23"/>
      <c r="G1" s="23"/>
    </row>
    <row r="2" customFormat="false" ht="18" hidden="false" customHeight="true" outlineLevel="0" collapsed="false">
      <c r="A2" s="3" t="s">
        <v>99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24" t="s">
        <v>100</v>
      </c>
      <c r="B4" s="24" t="s">
        <v>28</v>
      </c>
      <c r="C4" s="24" t="s">
        <v>29</v>
      </c>
      <c r="D4" s="24" t="s">
        <v>34</v>
      </c>
      <c r="E4" s="24" t="s">
        <v>101</v>
      </c>
      <c r="F4" s="14" t="s">
        <v>102</v>
      </c>
      <c r="G4" s="14" t="s">
        <v>103</v>
      </c>
    </row>
    <row r="5" customFormat="false" ht="15" hidden="false" customHeight="true" outlineLevel="0" collapsed="false">
      <c r="A5" s="6" t="s">
        <v>104</v>
      </c>
      <c r="B5" s="6" t="s">
        <v>34</v>
      </c>
      <c r="C5" s="6" t="s">
        <v>10</v>
      </c>
      <c r="D5" s="7" t="n">
        <v>150000</v>
      </c>
      <c r="E5" s="6" t="n">
        <v>100000</v>
      </c>
      <c r="F5" s="20" t="str">
        <f aca="false">PROPER(TRIM(A5))</f>
        <v>Ahmed Khan</v>
      </c>
      <c r="G5" s="9" t="n">
        <f aca="false">IF(B5="Sales",IF(D5&gt;E5,D5*0.1,0),IF(B5="HR",5000,0))</f>
        <v>15000</v>
      </c>
    </row>
    <row r="6" customFormat="false" ht="15" hidden="false" customHeight="true" outlineLevel="0" collapsed="false">
      <c r="A6" s="11" t="s">
        <v>105</v>
      </c>
      <c r="B6" s="11" t="s">
        <v>37</v>
      </c>
      <c r="C6" s="11" t="s">
        <v>14</v>
      </c>
      <c r="D6" s="12" t="n">
        <v>0</v>
      </c>
      <c r="E6" s="11" t="n">
        <v>0</v>
      </c>
      <c r="F6" s="20" t="str">
        <f aca="false">PROPER(TRIM(A6))</f>
        <v>Sara Ali</v>
      </c>
      <c r="G6" s="9" t="n">
        <f aca="false">IF(B6="Sales",IF(D6&gt;E6,D6*0.1,0),IF(B6="HR",5000,0))</f>
        <v>5000</v>
      </c>
    </row>
    <row r="7" customFormat="false" ht="15" hidden="false" customHeight="true" outlineLevel="0" collapsed="false">
      <c r="A7" s="6" t="s">
        <v>106</v>
      </c>
      <c r="B7" s="6" t="s">
        <v>34</v>
      </c>
      <c r="C7" s="6" t="s">
        <v>10</v>
      </c>
      <c r="D7" s="7" t="n">
        <v>80000</v>
      </c>
      <c r="E7" s="6" t="n">
        <v>100000</v>
      </c>
      <c r="F7" s="20" t="str">
        <f aca="false">PROPER(TRIM(A7))</f>
        <v>Zain Malik</v>
      </c>
      <c r="G7" s="9" t="n">
        <f aca="false">IF(B7="Sales",IF(D7&gt;E7,D7*0.1,0),IF(B7="HR",5000,0))</f>
        <v>0</v>
      </c>
    </row>
    <row r="8" customFormat="false" ht="15" hidden="false" customHeight="true" outlineLevel="0" collapsed="false">
      <c r="A8" s="11" t="s">
        <v>107</v>
      </c>
      <c r="B8" s="11" t="s">
        <v>42</v>
      </c>
      <c r="C8" s="11" t="s">
        <v>21</v>
      </c>
      <c r="D8" s="12" t="n">
        <v>0</v>
      </c>
      <c r="E8" s="11" t="n">
        <v>0</v>
      </c>
      <c r="F8" s="20" t="str">
        <f aca="false">PROPER(TRIM(A8))</f>
        <v>Fatima Raza</v>
      </c>
      <c r="G8" s="9" t="n">
        <f aca="false">IF(B8="Sales",IF(D8&gt;E8,D8*0.1,0),IF(B8="HR",5000,0))</f>
        <v>0</v>
      </c>
    </row>
    <row r="9" customFormat="false" ht="15" hidden="false" customHeight="true" outlineLevel="0" collapsed="false">
      <c r="A9" s="6" t="s">
        <v>108</v>
      </c>
      <c r="B9" s="6" t="s">
        <v>34</v>
      </c>
      <c r="C9" s="6" t="s">
        <v>14</v>
      </c>
      <c r="D9" s="7" t="n">
        <v>120000</v>
      </c>
      <c r="E9" s="6" t="n">
        <v>100000</v>
      </c>
      <c r="F9" s="20" t="str">
        <f aca="false">PROPER(TRIM(A9))</f>
        <v>Usman Sheikh</v>
      </c>
      <c r="G9" s="9" t="n">
        <f aca="false">IF(B9="Sales",IF(D9&gt;E9,D9*0.1,0),IF(B9="HR",5000,0))</f>
        <v>12000</v>
      </c>
    </row>
    <row r="10" customFormat="false" ht="15" hidden="false" customHeight="true" outlineLevel="0" collapsed="false">
      <c r="A10" s="11" t="s">
        <v>109</v>
      </c>
      <c r="B10" s="11" t="s">
        <v>34</v>
      </c>
      <c r="C10" s="11" t="s">
        <v>10</v>
      </c>
      <c r="D10" s="12" t="n">
        <v>110000</v>
      </c>
      <c r="E10" s="11" t="n">
        <v>100000</v>
      </c>
      <c r="F10" s="20" t="str">
        <f aca="false">PROPER(TRIM(A10))</f>
        <v>Bilal Ahmed</v>
      </c>
      <c r="G10" s="9" t="n">
        <f aca="false">IF(B10="Sales",IF(D10&gt;E10,D10*0.1,0),IF(B10="HR",5000,0))</f>
        <v>11000</v>
      </c>
    </row>
    <row r="11" customFormat="false" ht="15" hidden="false" customHeight="true" outlineLevel="0" collapsed="false">
      <c r="A11" s="6" t="s">
        <v>110</v>
      </c>
      <c r="B11" s="6" t="s">
        <v>37</v>
      </c>
      <c r="C11" s="6" t="s">
        <v>10</v>
      </c>
      <c r="D11" s="7" t="n">
        <v>0</v>
      </c>
      <c r="E11" s="6" t="n">
        <v>0</v>
      </c>
      <c r="F11" s="20" t="str">
        <f aca="false">PROPER(TRIM(A11))</f>
        <v>Hira Baig</v>
      </c>
      <c r="G11" s="9" t="n">
        <f aca="false">IF(B11="Sales",IF(D11&gt;E11,D11*0.1,0),IF(B11="HR",5000,0))</f>
        <v>5000</v>
      </c>
    </row>
    <row r="12" customFormat="false" ht="15" hidden="false" customHeight="true" outlineLevel="0" collapsed="false">
      <c r="A12" s="11" t="s">
        <v>111</v>
      </c>
      <c r="B12" s="11" t="s">
        <v>34</v>
      </c>
      <c r="C12" s="11" t="s">
        <v>21</v>
      </c>
      <c r="D12" s="12" t="n">
        <v>90000</v>
      </c>
      <c r="E12" s="11" t="n">
        <v>100000</v>
      </c>
      <c r="F12" s="20" t="str">
        <f aca="false">PROPER(TRIM(A12))</f>
        <v>Kamran Ali</v>
      </c>
      <c r="G12" s="9" t="n">
        <f aca="false">IF(B12="Sales",IF(D12&gt;E12,D12*0.1,0),IF(B12="HR",5000,0))</f>
        <v>0</v>
      </c>
    </row>
    <row r="14" customFormat="false" ht="15" hidden="false" customHeight="true" outlineLevel="0" collapsed="false">
      <c r="A14" s="3" t="s">
        <v>112</v>
      </c>
      <c r="B14" s="3"/>
      <c r="C14" s="3"/>
      <c r="D14" s="3"/>
      <c r="E14" s="3"/>
      <c r="F14" s="3"/>
      <c r="G14" s="3"/>
    </row>
    <row r="15" customFormat="false" ht="15" hidden="false" customHeight="true" outlineLevel="0" collapsed="false">
      <c r="A15" s="5" t="s">
        <v>113</v>
      </c>
      <c r="B15" s="5" t="s">
        <v>8</v>
      </c>
      <c r="C15" s="5" t="s">
        <v>9</v>
      </c>
      <c r="D15" s="5"/>
      <c r="E15" s="5"/>
      <c r="F15" s="5"/>
      <c r="G15" s="5"/>
    </row>
    <row r="16" customFormat="false" ht="23.25" hidden="false" customHeight="true" outlineLevel="0" collapsed="false">
      <c r="A16" s="8" t="s">
        <v>114</v>
      </c>
      <c r="B16" s="9" t="n">
        <f aca="false">SUMIFS(D5:D12,B5:B12,"Sales",C5:C12,"Karachi")</f>
        <v>340000</v>
      </c>
      <c r="C16" s="3" t="n">
        <f aca="false">SUMIFS(D5:D12,B5:B12,"Sales",C5:C12,"Karachi")</f>
        <v>340000</v>
      </c>
      <c r="D16" s="3"/>
      <c r="E16" s="3"/>
      <c r="F16" s="3"/>
      <c r="G16" s="3"/>
    </row>
    <row r="17" customFormat="false" ht="23.25" hidden="false" customHeight="true" outlineLevel="0" collapsed="false">
      <c r="A17" s="8" t="s">
        <v>115</v>
      </c>
      <c r="B17" s="9" t="n">
        <f aca="false">COUNTIFS(B5:B12,"Sales",C5:C12,"Karachi")</f>
        <v>3</v>
      </c>
      <c r="C17" s="3" t="n">
        <f aca="false">COUNTIFS(B5:B12,"Sales",C5:C12,"Karachi")</f>
        <v>3</v>
      </c>
      <c r="D17" s="3"/>
      <c r="E17" s="3"/>
      <c r="F17" s="3"/>
      <c r="G17" s="3"/>
    </row>
    <row r="18" customFormat="false" ht="15" hidden="false" customHeight="true" outlineLevel="0" collapsed="false">
      <c r="A18" s="8" t="s">
        <v>116</v>
      </c>
      <c r="B18" s="9" t="n">
        <f aca="false">SUM(G5:G12)</f>
        <v>48000</v>
      </c>
      <c r="C18" s="3" t="n">
        <f aca="false">SUM(G5:G12)</f>
        <v>48000</v>
      </c>
      <c r="D18" s="3"/>
      <c r="E18" s="3"/>
      <c r="F18" s="3"/>
      <c r="G18" s="3"/>
    </row>
    <row r="19" customFormat="false" ht="23.25" hidden="false" customHeight="true" outlineLevel="0" collapsed="false">
      <c r="A19" s="8" t="s">
        <v>117</v>
      </c>
      <c r="B19" s="9" t="n">
        <f aca="false">COUNTIFS(B5:B12,"Sales",D5:D12,"&gt;100000")</f>
        <v>3</v>
      </c>
      <c r="C19" s="3" t="n">
        <f aca="false">COUNTIFS(B5:B12,"Sales",D5:D12,"&gt;100000")</f>
        <v>3</v>
      </c>
      <c r="D19" s="3"/>
      <c r="E19" s="3"/>
      <c r="F19" s="3"/>
      <c r="G19" s="3"/>
    </row>
    <row r="20" customFormat="false" ht="23.25" hidden="false" customHeight="true" outlineLevel="0" collapsed="false">
      <c r="A20" s="8" t="s">
        <v>118</v>
      </c>
      <c r="B20" s="9" t="str">
        <f aca="false">IFERROR(VLOOKUP("HR",B5:C12,2,FALSE()),"Try VLOOKUP manually!")</f>
        <v>Lahore</v>
      </c>
      <c r="C20" s="25" t="s">
        <v>119</v>
      </c>
      <c r="D20" s="25"/>
      <c r="E20" s="25"/>
      <c r="F20" s="25"/>
      <c r="G20" s="25"/>
    </row>
    <row r="22" customFormat="false" ht="19.5" hidden="false" customHeight="true" outlineLevel="0" collapsed="false">
      <c r="A22" s="3" t="s">
        <v>120</v>
      </c>
      <c r="B22" s="3"/>
      <c r="C22" s="3"/>
      <c r="D22" s="3"/>
      <c r="E22" s="3"/>
      <c r="F22" s="3"/>
      <c r="G22" s="3"/>
    </row>
  </sheetData>
  <mergeCells count="10">
    <mergeCell ref="A1:G1"/>
    <mergeCell ref="A2:G2"/>
    <mergeCell ref="A14:G14"/>
    <mergeCell ref="C15:G15"/>
    <mergeCell ref="C16:G16"/>
    <mergeCell ref="C17:G17"/>
    <mergeCell ref="C18:G18"/>
    <mergeCell ref="C19:G19"/>
    <mergeCell ref="C20:G20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2026-02-17T08:37:01Z</dcterms:created>
  <dc:creator>openpyxl</dc:creator>
  <dc:description/>
  <dc:language>en-US</dc:language>
  <cp:lastModifiedBy/>
  <dcterms:modified xsi:type="dcterms:W3CDTF">2026-02-17T08:41:54Z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